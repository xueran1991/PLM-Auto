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488" windowHeight="9887" firstSheet="1" activeTab="1"/>
  </bookViews>
  <sheets>
    <sheet name="物料分类表 (2)" sheetId="12" state="hidden" r:id="rId1"/>
    <sheet name="物料分类表 R22" sheetId="18" r:id="rId2"/>
    <sheet name="Sheet2" sheetId="21" r:id="rId3"/>
    <sheet name="外购件" sheetId="22" r:id="rId4"/>
    <sheet name="汇总" sheetId="19" state="hidden" r:id="rId5"/>
    <sheet name="分解表" sheetId="20" state="hidden" r:id="rId6"/>
    <sheet name="原材料编码规则" sheetId="15" state="hidden" r:id="rId7"/>
    <sheet name="外购设备编码规则" sheetId="16" state="hidden" r:id="rId8"/>
    <sheet name="外购件编码规则" sheetId="17" state="hidden" r:id="rId9"/>
    <sheet name="Sheet1" sheetId="13" state="hidden" r:id="rId10"/>
    <sheet name="外购件分类表" sheetId="4" state="hidden" r:id="rId11"/>
    <sheet name="外购件总清单" sheetId="10" state="hidden" r:id="rId12"/>
  </sheets>
  <definedNames>
    <definedName name="_xlnm._FilterDatabase" localSheetId="0" hidden="1">'物料分类表 (2)'!$A$3:$I$35</definedName>
    <definedName name="_xlnm._FilterDatabase" localSheetId="1" hidden="1">'物料分类表 R22'!$A$2:$N$926</definedName>
    <definedName name="_xlnm._FilterDatabase" localSheetId="4" hidden="1">汇总!$A$3:$Q$500</definedName>
    <definedName name="_xlnm._FilterDatabase" localSheetId="6" hidden="1">原材料编码规则!$A$4:$D$37</definedName>
    <definedName name="_xlnm._FilterDatabase" localSheetId="7" hidden="1">外购设备编码规则!$A$4:$D$149</definedName>
    <definedName name="_xlnm._FilterDatabase" localSheetId="8" hidden="1">外购件编码规则!$A$4:$D$139</definedName>
    <definedName name="_xlnm._FilterDatabase" localSheetId="10" hidden="1">外购件分类表!$A$1:$N$169</definedName>
    <definedName name="_1" localSheetId="10">外购件分类表!#REF!</definedName>
    <definedName name="_Toc3473344" localSheetId="1">'物料分类表 R22'!#REF!</definedName>
  </definedNames>
  <calcPr calcId="144525"/>
</workbook>
</file>

<file path=xl/sharedStrings.xml><?xml version="1.0" encoding="utf-8"?>
<sst xmlns="http://schemas.openxmlformats.org/spreadsheetml/2006/main" count="6543" uniqueCount="3233">
  <si>
    <t>2～4</t>
  </si>
  <si>
    <t>原材料</t>
  </si>
  <si>
    <t>RA</t>
  </si>
  <si>
    <t>钢板和钢带</t>
  </si>
  <si>
    <t>H</t>
  </si>
  <si>
    <t>钢板</t>
  </si>
  <si>
    <t>B</t>
  </si>
  <si>
    <t>流水</t>
  </si>
  <si>
    <t>碳钢</t>
  </si>
  <si>
    <t>Q195</t>
  </si>
  <si>
    <t>001</t>
  </si>
  <si>
    <t>彩涂板</t>
  </si>
  <si>
    <t>C</t>
  </si>
  <si>
    <t>不锈钢</t>
  </si>
  <si>
    <t>Q215-A</t>
  </si>
  <si>
    <t>002</t>
  </si>
  <si>
    <t>压型板</t>
  </si>
  <si>
    <t>D</t>
  </si>
  <si>
    <t>钛材</t>
  </si>
  <si>
    <t>Q215-B</t>
  </si>
  <si>
    <t>003</t>
  </si>
  <si>
    <t>彩涂夹芯板</t>
  </si>
  <si>
    <t>E</t>
  </si>
  <si>
    <t>复合材质</t>
  </si>
  <si>
    <t>Q215-C</t>
  </si>
  <si>
    <t>004</t>
  </si>
  <si>
    <t>压型夹芯板</t>
  </si>
  <si>
    <t>F</t>
  </si>
  <si>
    <t>有色金属</t>
  </si>
  <si>
    <t>Q235-A</t>
  </si>
  <si>
    <t>005</t>
  </si>
  <si>
    <t>钢管</t>
  </si>
  <si>
    <t>K</t>
  </si>
  <si>
    <t>焊管</t>
  </si>
  <si>
    <t>G</t>
  </si>
  <si>
    <t>非金属</t>
  </si>
  <si>
    <t>Q235-B</t>
  </si>
  <si>
    <t>006</t>
  </si>
  <si>
    <t>无缝管</t>
  </si>
  <si>
    <t>Q235-C</t>
  </si>
  <si>
    <t>007</t>
  </si>
  <si>
    <t>型钢</t>
  </si>
  <si>
    <t>M</t>
  </si>
  <si>
    <t>圆钢</t>
  </si>
  <si>
    <t>I</t>
  </si>
  <si>
    <t>Q275-A</t>
  </si>
  <si>
    <t>008</t>
  </si>
  <si>
    <t>扁钢</t>
  </si>
  <si>
    <t>J</t>
  </si>
  <si>
    <t>Q275-B</t>
  </si>
  <si>
    <t>009</t>
  </si>
  <si>
    <t>六角钢</t>
  </si>
  <si>
    <t>Q275-C</t>
  </si>
  <si>
    <t>010</t>
  </si>
  <si>
    <t>方钢</t>
  </si>
  <si>
    <t>L</t>
  </si>
  <si>
    <t>08b</t>
  </si>
  <si>
    <t>011</t>
  </si>
  <si>
    <t>角钢</t>
  </si>
  <si>
    <t>10#</t>
  </si>
  <si>
    <t>012</t>
  </si>
  <si>
    <t>槽钢</t>
  </si>
  <si>
    <t>N</t>
  </si>
  <si>
    <t>15#</t>
  </si>
  <si>
    <t>013</t>
  </si>
  <si>
    <t>方形钢管</t>
  </si>
  <si>
    <t>O</t>
  </si>
  <si>
    <t>20#</t>
  </si>
  <si>
    <t>014</t>
  </si>
  <si>
    <t>矩形钢管</t>
  </si>
  <si>
    <t>P</t>
  </si>
  <si>
    <t>25#</t>
  </si>
  <si>
    <t>015</t>
  </si>
  <si>
    <t>工字钢</t>
  </si>
  <si>
    <t>Q</t>
  </si>
  <si>
    <t>30#</t>
  </si>
  <si>
    <t>016</t>
  </si>
  <si>
    <t>H型钢</t>
  </si>
  <si>
    <t>S</t>
  </si>
  <si>
    <t>35#</t>
  </si>
  <si>
    <t>017</t>
  </si>
  <si>
    <t>轻轨</t>
  </si>
  <si>
    <t>U</t>
  </si>
  <si>
    <t>40#</t>
  </si>
  <si>
    <t>018</t>
  </si>
  <si>
    <t>重轨</t>
  </si>
  <si>
    <t>V</t>
  </si>
  <si>
    <t>45#</t>
  </si>
  <si>
    <t>019</t>
  </si>
  <si>
    <t>W</t>
  </si>
  <si>
    <t>50#</t>
  </si>
  <si>
    <t>020</t>
  </si>
  <si>
    <t>X</t>
  </si>
  <si>
    <t>55#</t>
  </si>
  <si>
    <t>021</t>
  </si>
  <si>
    <t>其他</t>
  </si>
  <si>
    <t>保温板材</t>
  </si>
  <si>
    <t>Y</t>
  </si>
  <si>
    <t>60#</t>
  </si>
  <si>
    <t>022</t>
  </si>
  <si>
    <t>保温管材</t>
  </si>
  <si>
    <t>Z</t>
  </si>
  <si>
    <t>65#</t>
  </si>
  <si>
    <t>023</t>
  </si>
  <si>
    <t>R</t>
  </si>
  <si>
    <t>70#</t>
  </si>
  <si>
    <t>024</t>
  </si>
  <si>
    <t>外购设备</t>
  </si>
  <si>
    <t>油脂</t>
  </si>
  <si>
    <t>型号码</t>
  </si>
  <si>
    <t>AC</t>
  </si>
  <si>
    <t>75#</t>
  </si>
  <si>
    <t>025</t>
  </si>
  <si>
    <t>淀粉</t>
  </si>
  <si>
    <t>GB</t>
  </si>
  <si>
    <t>节能蒸发</t>
  </si>
  <si>
    <t>NB</t>
  </si>
  <si>
    <t>通用</t>
  </si>
  <si>
    <t>SA</t>
  </si>
  <si>
    <t>低值易耗</t>
  </si>
  <si>
    <t>电气</t>
  </si>
  <si>
    <t>自制设备</t>
  </si>
  <si>
    <t>A</t>
  </si>
  <si>
    <t>通用件</t>
  </si>
  <si>
    <t>物料分类表 R21</t>
  </si>
  <si>
    <t>总序号</t>
  </si>
  <si>
    <t>分序号</t>
  </si>
  <si>
    <t>大类名称</t>
  </si>
  <si>
    <t>大类代号</t>
  </si>
  <si>
    <t>中类名称</t>
  </si>
  <si>
    <t>次中类名称</t>
  </si>
  <si>
    <t>物料前缀</t>
  </si>
  <si>
    <t>重复识别</t>
  </si>
  <si>
    <t>钢板与钢带</t>
  </si>
  <si>
    <t>U001</t>
  </si>
  <si>
    <t>U002</t>
  </si>
  <si>
    <t>U003</t>
  </si>
  <si>
    <t>U004</t>
  </si>
  <si>
    <t>U005</t>
  </si>
  <si>
    <t>花纹钢板</t>
  </si>
  <si>
    <t>U006</t>
  </si>
  <si>
    <t>圆钢板</t>
  </si>
  <si>
    <t>U007</t>
  </si>
  <si>
    <t>U008</t>
  </si>
  <si>
    <t>U009</t>
  </si>
  <si>
    <t>定尺焊管</t>
  </si>
  <si>
    <t>U010</t>
  </si>
  <si>
    <t>定尺无缝管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</si>
  <si>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</si>
  <si>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</si>
  <si>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</si>
  <si>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</si>
  <si>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</si>
  <si>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</si>
  <si>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</si>
  <si>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</si>
  <si>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</si>
  <si>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</si>
  <si>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</si>
  <si>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轨道钢</t>
  </si>
  <si>
    <t>U022</t>
  </si>
  <si>
    <t>C型钢</t>
  </si>
  <si>
    <t>U023</t>
  </si>
  <si>
    <t>有色金属板材</t>
  </si>
  <si>
    <t>U024</t>
  </si>
  <si>
    <t>有色金属带材</t>
  </si>
  <si>
    <t>U025</t>
  </si>
  <si>
    <t>有色金属管材</t>
  </si>
  <si>
    <t>U026</t>
  </si>
  <si>
    <t>有色金属棒材</t>
  </si>
  <si>
    <t>U027</t>
  </si>
  <si>
    <t>非金属板材</t>
  </si>
  <si>
    <t>U028</t>
  </si>
  <si>
    <t>非金属带材</t>
  </si>
  <si>
    <t>U029</t>
  </si>
  <si>
    <t>非金属管材</t>
  </si>
  <si>
    <t>U030</t>
  </si>
  <si>
    <t>非金属棒材</t>
  </si>
  <si>
    <t>U031</t>
  </si>
  <si>
    <t>其它</t>
  </si>
  <si>
    <t>U032</t>
  </si>
  <si>
    <t>U033</t>
  </si>
  <si>
    <t>U034</t>
  </si>
  <si>
    <t>其它原材料</t>
  </si>
  <si>
    <t>U035</t>
  </si>
  <si>
    <t>氨制冷系统</t>
  </si>
  <si>
    <t>R001</t>
  </si>
  <si>
    <t>板片空气换热器</t>
  </si>
  <si>
    <t>R002</t>
  </si>
  <si>
    <t>导热油加热器</t>
  </si>
  <si>
    <t>R003</t>
  </si>
  <si>
    <t>可拆板壳式换热器</t>
  </si>
  <si>
    <t>R004</t>
  </si>
  <si>
    <t>炒籽机</t>
  </si>
  <si>
    <t>R005</t>
  </si>
  <si>
    <t>烘干塔</t>
  </si>
  <si>
    <t>R006</t>
  </si>
  <si>
    <t>齿式破碎机</t>
  </si>
  <si>
    <t>R007</t>
  </si>
  <si>
    <t>碟盘粉碎机</t>
  </si>
  <si>
    <t>R008</t>
  </si>
  <si>
    <t>齿辊破碎机</t>
  </si>
  <si>
    <t>R009</t>
  </si>
  <si>
    <t>膨化机</t>
  </si>
  <si>
    <t>R010</t>
  </si>
  <si>
    <t>轧胚机</t>
  </si>
  <si>
    <t>R011</t>
  </si>
  <si>
    <t>磨辊机</t>
  </si>
  <si>
    <t>R012</t>
  </si>
  <si>
    <t>榨油机</t>
  </si>
  <si>
    <t>R013</t>
  </si>
  <si>
    <t>剪切泵</t>
  </si>
  <si>
    <t>R014</t>
  </si>
  <si>
    <t>多效混合器</t>
  </si>
  <si>
    <t>R015</t>
  </si>
  <si>
    <t>刮刀过滤机</t>
  </si>
  <si>
    <t>R016</t>
  </si>
  <si>
    <t>热卸式冬化过滤机</t>
  </si>
  <si>
    <t>R017</t>
  </si>
  <si>
    <t>卧式叶片过滤机</t>
  </si>
  <si>
    <t>R018</t>
  </si>
  <si>
    <t>压滤机</t>
  </si>
  <si>
    <t>R019</t>
  </si>
  <si>
    <t>拉丝机</t>
  </si>
  <si>
    <t>R020</t>
  </si>
  <si>
    <t>清仓机</t>
  </si>
  <si>
    <t>R021</t>
  </si>
  <si>
    <t>抛光机</t>
  </si>
  <si>
    <t>R022</t>
  </si>
  <si>
    <t>磷脂灌装机</t>
  </si>
  <si>
    <t>R023</t>
  </si>
  <si>
    <t>打油锅</t>
  </si>
  <si>
    <t>R024</t>
  </si>
  <si>
    <t>砂盘磨</t>
  </si>
  <si>
    <t>R025</t>
  </si>
  <si>
    <t>磁选过滤器</t>
  </si>
  <si>
    <t>R026</t>
  </si>
  <si>
    <t>卧式混合油过滤机</t>
  </si>
  <si>
    <t>R027</t>
  </si>
  <si>
    <t>喷射混合器</t>
  </si>
  <si>
    <t>R028</t>
  </si>
  <si>
    <t>水力喷射器</t>
  </si>
  <si>
    <t>R029</t>
  </si>
  <si>
    <t>重力曲筛</t>
  </si>
  <si>
    <t>R030</t>
  </si>
  <si>
    <t>压力曲筛</t>
  </si>
  <si>
    <t>R031</t>
  </si>
  <si>
    <t>砂石捕集器</t>
  </si>
  <si>
    <t>R032</t>
  </si>
  <si>
    <t>除砂旋流器</t>
  </si>
  <si>
    <t>R033</t>
  </si>
  <si>
    <t>胚芽旋流器</t>
  </si>
  <si>
    <t>R034</t>
  </si>
  <si>
    <t>玻璃钢储罐</t>
  </si>
  <si>
    <t>R035</t>
  </si>
  <si>
    <t>脱胚磨</t>
  </si>
  <si>
    <t>R036</t>
  </si>
  <si>
    <t>树脂</t>
  </si>
  <si>
    <t>R037</t>
  </si>
  <si>
    <t>无菌风设备</t>
  </si>
  <si>
    <t>R038</t>
  </si>
  <si>
    <t>MVR压缩机</t>
  </si>
  <si>
    <t>R039</t>
  </si>
  <si>
    <t>双级活塞推料离心机</t>
  </si>
  <si>
    <t>R040</t>
  </si>
  <si>
    <t>水力旋流器</t>
  </si>
  <si>
    <t>R041</t>
  </si>
  <si>
    <t>干燥机组</t>
  </si>
  <si>
    <t>R042</t>
  </si>
  <si>
    <t>冷冻机组</t>
  </si>
  <si>
    <t>R043</t>
  </si>
  <si>
    <t>板式换热器</t>
  </si>
  <si>
    <t>R044</t>
  </si>
  <si>
    <t>翅片管式换热器</t>
  </si>
  <si>
    <t>R045</t>
  </si>
  <si>
    <t>齿轮泵</t>
  </si>
  <si>
    <t>R046</t>
  </si>
  <si>
    <t>卧螺离心机</t>
  </si>
  <si>
    <t>R047</t>
  </si>
  <si>
    <t>计量泵</t>
  </si>
  <si>
    <t>R048</t>
  </si>
  <si>
    <t>离心泵</t>
  </si>
  <si>
    <t>R049</t>
  </si>
  <si>
    <t>立式多级泵</t>
  </si>
  <si>
    <t>R050</t>
  </si>
  <si>
    <t>罗茨真空泵</t>
  </si>
  <si>
    <t>R051</t>
  </si>
  <si>
    <t>螺杆泵</t>
  </si>
  <si>
    <t>R052</t>
  </si>
  <si>
    <t>屏蔽泵</t>
  </si>
  <si>
    <t>R053</t>
  </si>
  <si>
    <t>气动隔膜泵</t>
  </si>
  <si>
    <t>R054</t>
  </si>
  <si>
    <t>液环真空泵</t>
  </si>
  <si>
    <t>R055</t>
  </si>
  <si>
    <t>转子泵</t>
  </si>
  <si>
    <t>R056</t>
  </si>
  <si>
    <t>蒸汽喷射泵</t>
  </si>
  <si>
    <t>R057</t>
  </si>
  <si>
    <t>锤片粉碎机</t>
  </si>
  <si>
    <t>R058</t>
  </si>
  <si>
    <t>超微粉碎机</t>
  </si>
  <si>
    <t>R059</t>
  </si>
  <si>
    <t>包装秤</t>
  </si>
  <si>
    <t>R060</t>
  </si>
  <si>
    <t>流量秤</t>
  </si>
  <si>
    <t>R061</t>
  </si>
  <si>
    <t>气动秤斗门</t>
  </si>
  <si>
    <t>R062</t>
  </si>
  <si>
    <t>皮带秤</t>
  </si>
  <si>
    <t>R063</t>
  </si>
  <si>
    <t>电动葫芦</t>
  </si>
  <si>
    <t>R064</t>
  </si>
  <si>
    <t>手动葫芦</t>
  </si>
  <si>
    <t>R065</t>
  </si>
  <si>
    <t>提升机</t>
  </si>
  <si>
    <t>R066</t>
  </si>
  <si>
    <t>刮板输送机</t>
  </si>
  <si>
    <t>R067</t>
  </si>
  <si>
    <t>螺旋输送机</t>
  </si>
  <si>
    <t>R068</t>
  </si>
  <si>
    <t>皮带输送机</t>
  </si>
  <si>
    <t>R069</t>
  </si>
  <si>
    <t>静态混合器</t>
  </si>
  <si>
    <t>R070</t>
  </si>
  <si>
    <t>翻板冷却器</t>
  </si>
  <si>
    <t>R071</t>
  </si>
  <si>
    <t>冷却塔</t>
  </si>
  <si>
    <t>R072</t>
  </si>
  <si>
    <t>风机</t>
  </si>
  <si>
    <t>R073</t>
  </si>
  <si>
    <t>罗茨风机</t>
  </si>
  <si>
    <t>R074</t>
  </si>
  <si>
    <t>蒸汽锅炉</t>
  </si>
  <si>
    <t>R075</t>
  </si>
  <si>
    <t>立式叶片过滤机</t>
  </si>
  <si>
    <t>R076</t>
  </si>
  <si>
    <t>袋式过滤机</t>
  </si>
  <si>
    <t>R077</t>
  </si>
  <si>
    <t>篮式过滤器</t>
  </si>
  <si>
    <t>R078</t>
  </si>
  <si>
    <t>烛式过滤机</t>
  </si>
  <si>
    <t>R079</t>
  </si>
  <si>
    <t>纸板过滤机</t>
  </si>
  <si>
    <t>R080</t>
  </si>
  <si>
    <t>减菌过滤器</t>
  </si>
  <si>
    <t>R081</t>
  </si>
  <si>
    <t>碟片离心机</t>
  </si>
  <si>
    <t>R082</t>
  </si>
  <si>
    <t>真空转鼓过滤机</t>
  </si>
  <si>
    <t>R083</t>
  </si>
  <si>
    <t>关风器</t>
  </si>
  <si>
    <t>R084</t>
  </si>
  <si>
    <t>圆筒初清筛</t>
  </si>
  <si>
    <t>R085</t>
  </si>
  <si>
    <t>滚筒磁选器</t>
  </si>
  <si>
    <t>R086</t>
  </si>
  <si>
    <t>平面回转筛</t>
  </si>
  <si>
    <t>R087</t>
  </si>
  <si>
    <t>去石机</t>
  </si>
  <si>
    <t>R088</t>
  </si>
  <si>
    <t>永磁筒</t>
  </si>
  <si>
    <t>R089</t>
  </si>
  <si>
    <t>振动筛</t>
  </si>
  <si>
    <t>R090</t>
  </si>
  <si>
    <t>挑担平筛</t>
  </si>
  <si>
    <t>R091</t>
  </si>
  <si>
    <t>脉冲除尘器</t>
  </si>
  <si>
    <t>R092</t>
  </si>
  <si>
    <t>真空系统</t>
  </si>
  <si>
    <t>R093</t>
  </si>
  <si>
    <t>储气罐</t>
  </si>
  <si>
    <t>R094</t>
  </si>
  <si>
    <t>空压机</t>
  </si>
  <si>
    <t>R095</t>
  </si>
  <si>
    <t>空压机过滤器</t>
  </si>
  <si>
    <t>R096</t>
  </si>
  <si>
    <t>压缩空气干燥机</t>
  </si>
  <si>
    <t>R097</t>
  </si>
  <si>
    <t>电动闸门</t>
  </si>
  <si>
    <t>R098</t>
  </si>
  <si>
    <t>气动闸门</t>
  </si>
  <si>
    <t>R099</t>
  </si>
  <si>
    <t>手动闸门</t>
  </si>
  <si>
    <t>R100</t>
  </si>
  <si>
    <t>气动三通</t>
  </si>
  <si>
    <t>R101</t>
  </si>
  <si>
    <t>振动卸料器</t>
  </si>
  <si>
    <t>R102</t>
  </si>
  <si>
    <t>制粒机</t>
  </si>
  <si>
    <t>R103</t>
  </si>
  <si>
    <t>混合机</t>
  </si>
  <si>
    <t>R104</t>
  </si>
  <si>
    <t>刮刀离心机</t>
  </si>
  <si>
    <t>R105</t>
  </si>
  <si>
    <t>加湿系统</t>
  </si>
  <si>
    <t>R106</t>
  </si>
  <si>
    <t>尾气洗涤塔</t>
  </si>
  <si>
    <t>R107</t>
  </si>
  <si>
    <t>真空包装机</t>
  </si>
  <si>
    <t>R108</t>
  </si>
  <si>
    <t>钢板仓</t>
  </si>
  <si>
    <t>R109</t>
  </si>
  <si>
    <t>立式蒸炒锅</t>
  </si>
  <si>
    <t>R110</t>
  </si>
  <si>
    <t>缝包机</t>
  </si>
  <si>
    <t>R111</t>
  </si>
  <si>
    <t>颗粒捕集器</t>
  </si>
  <si>
    <t>R112</t>
  </si>
  <si>
    <t>软水系统</t>
  </si>
  <si>
    <t>R113</t>
  </si>
  <si>
    <t>喂料器</t>
  </si>
  <si>
    <t>R114</t>
  </si>
  <si>
    <t>调制器</t>
  </si>
  <si>
    <t>R115</t>
  </si>
  <si>
    <t>保质器</t>
  </si>
  <si>
    <t>R116</t>
  </si>
  <si>
    <t>气锤</t>
  </si>
  <si>
    <t>R117</t>
  </si>
  <si>
    <t>码垛系统</t>
  </si>
  <si>
    <t>R118</t>
  </si>
  <si>
    <t>打麦机</t>
  </si>
  <si>
    <t>R119</t>
  </si>
  <si>
    <t>夹套型立式搅拌罐</t>
  </si>
  <si>
    <t>R120</t>
  </si>
  <si>
    <t>盘管型立式搅拌罐</t>
  </si>
  <si>
    <t>R121</t>
  </si>
  <si>
    <t>外购件</t>
  </si>
  <si>
    <t>联接紧固</t>
  </si>
  <si>
    <t>螺栓</t>
  </si>
  <si>
    <t>N001</t>
  </si>
  <si>
    <t>螺母</t>
  </si>
  <si>
    <t>N002</t>
  </si>
  <si>
    <t>螺柱</t>
  </si>
  <si>
    <t>N003</t>
  </si>
  <si>
    <t>螺钉</t>
  </si>
  <si>
    <t>N004</t>
  </si>
  <si>
    <t>垫圈</t>
  </si>
  <si>
    <t>N005</t>
  </si>
  <si>
    <t>挡圈</t>
  </si>
  <si>
    <t>N006</t>
  </si>
  <si>
    <t>键</t>
  </si>
  <si>
    <t>N007</t>
  </si>
  <si>
    <t>销</t>
  </si>
  <si>
    <t>N008</t>
  </si>
  <si>
    <t>铆钉</t>
  </si>
  <si>
    <t>N009</t>
  </si>
  <si>
    <t>花键</t>
  </si>
  <si>
    <t>N010</t>
  </si>
  <si>
    <t>减速机、变速器</t>
  </si>
  <si>
    <t>R系列减速机</t>
  </si>
  <si>
    <t>N011</t>
  </si>
  <si>
    <t>F系列减速机</t>
  </si>
  <si>
    <t>N012</t>
  </si>
  <si>
    <t>K系列减速机</t>
  </si>
  <si>
    <t>N013</t>
  </si>
  <si>
    <t>S系列减速机</t>
  </si>
  <si>
    <t>N014</t>
  </si>
  <si>
    <t>R系列减速电机</t>
  </si>
  <si>
    <t>N015</t>
  </si>
  <si>
    <t>F系列减速电机</t>
  </si>
  <si>
    <t>N016</t>
  </si>
  <si>
    <t>K系列减速电机</t>
  </si>
  <si>
    <t>N017</t>
  </si>
  <si>
    <t>S系列减速电机</t>
  </si>
  <si>
    <t>N018</t>
  </si>
  <si>
    <t>X系列减速箱</t>
  </si>
  <si>
    <t>N019</t>
  </si>
  <si>
    <t>MC系列减速箱</t>
  </si>
  <si>
    <t>N020</t>
  </si>
  <si>
    <t>ML系列减速箱</t>
  </si>
  <si>
    <t>N021</t>
  </si>
  <si>
    <t>M系列减速箱</t>
  </si>
  <si>
    <t>N022</t>
  </si>
  <si>
    <t>YC系列减速箱</t>
  </si>
  <si>
    <t>N023</t>
  </si>
  <si>
    <t>圆柱齿轮减速箱</t>
  </si>
  <si>
    <t>N024</t>
  </si>
  <si>
    <t>升降机</t>
  </si>
  <si>
    <t>N025</t>
  </si>
  <si>
    <t>换挡变速器</t>
  </si>
  <si>
    <t>N026</t>
  </si>
  <si>
    <t>电机</t>
  </si>
  <si>
    <t>普通电机</t>
  </si>
  <si>
    <t>N027</t>
  </si>
  <si>
    <t>防爆电机</t>
  </si>
  <si>
    <t>N028</t>
  </si>
  <si>
    <t>变频电机</t>
  </si>
  <si>
    <t>N029</t>
  </si>
  <si>
    <t>变频防爆电机</t>
  </si>
  <si>
    <t>N030</t>
  </si>
  <si>
    <t>高压电机</t>
  </si>
  <si>
    <t>N031</t>
  </si>
  <si>
    <t>轴承</t>
  </si>
  <si>
    <t>深沟球轴承</t>
  </si>
  <si>
    <t>N032</t>
  </si>
  <si>
    <t>调心球轴承</t>
  </si>
  <si>
    <t>N033</t>
  </si>
  <si>
    <t>角接触球轴承</t>
  </si>
  <si>
    <t>N034</t>
  </si>
  <si>
    <t>圆柱滚子轴承</t>
  </si>
  <si>
    <t>N035</t>
  </si>
  <si>
    <t>调心滚子轴承</t>
  </si>
  <si>
    <t>N036</t>
  </si>
  <si>
    <t>圆锥滚子轴承</t>
  </si>
  <si>
    <t>N037</t>
  </si>
  <si>
    <t>推力球轴承</t>
  </si>
  <si>
    <t>N038</t>
  </si>
  <si>
    <t>推力调心滚子轴承</t>
  </si>
  <si>
    <t>N039</t>
  </si>
  <si>
    <t>CARB圆环滚子轴承</t>
  </si>
  <si>
    <t>N040</t>
  </si>
  <si>
    <t>外球面球轴承</t>
  </si>
  <si>
    <t>N041</t>
  </si>
  <si>
    <t>紧定套</t>
  </si>
  <si>
    <t>N042</t>
  </si>
  <si>
    <t>锁紧螺母</t>
  </si>
  <si>
    <t>N043</t>
  </si>
  <si>
    <t>锁紧垫圈</t>
  </si>
  <si>
    <t>N044</t>
  </si>
  <si>
    <t>止推环</t>
  </si>
  <si>
    <t>N045</t>
  </si>
  <si>
    <t>SN系列轴承座</t>
  </si>
  <si>
    <t>N046</t>
  </si>
  <si>
    <t>U带座轴承座</t>
  </si>
  <si>
    <t>N047</t>
  </si>
  <si>
    <t>关节轴承</t>
  </si>
  <si>
    <t>N048</t>
  </si>
  <si>
    <t>自润滑轴承</t>
  </si>
  <si>
    <t>N049</t>
  </si>
  <si>
    <t>滚针轴承</t>
  </si>
  <si>
    <t>N050</t>
  </si>
  <si>
    <t>锁定扣</t>
  </si>
  <si>
    <t>N051</t>
  </si>
  <si>
    <t>退卸套</t>
  </si>
  <si>
    <t>N052</t>
  </si>
  <si>
    <t>定位环</t>
  </si>
  <si>
    <t>N053</t>
  </si>
  <si>
    <t>轴套轴瓦</t>
  </si>
  <si>
    <t>N054</t>
  </si>
  <si>
    <t>橡胶轴承</t>
  </si>
  <si>
    <t>N055</t>
  </si>
  <si>
    <t>塑料轴承</t>
  </si>
  <si>
    <t>N056</t>
  </si>
  <si>
    <t>轴联件</t>
  </si>
  <si>
    <t>凸缘联轴器</t>
  </si>
  <si>
    <t>N057</t>
  </si>
  <si>
    <t>弹性柱销联轴器</t>
  </si>
  <si>
    <t>N058</t>
  </si>
  <si>
    <t>鼓形齿式联轴器</t>
  </si>
  <si>
    <t>N059</t>
  </si>
  <si>
    <t>蛇形弹簧联轴器</t>
  </si>
  <si>
    <t>N060</t>
  </si>
  <si>
    <t>万向联轴器</t>
  </si>
  <si>
    <t>N061</t>
  </si>
  <si>
    <t>轮胎联轴器</t>
  </si>
  <si>
    <t>N062</t>
  </si>
  <si>
    <t>梅花联轴器</t>
  </si>
  <si>
    <t>N063</t>
  </si>
  <si>
    <t>膜片联轴器</t>
  </si>
  <si>
    <t>N064</t>
  </si>
  <si>
    <t>液力偶合器</t>
  </si>
  <si>
    <t>N065</t>
  </si>
  <si>
    <t>胀套</t>
  </si>
  <si>
    <t>N066</t>
  </si>
  <si>
    <t>冲压外圈滚针离合器</t>
  </si>
  <si>
    <t>N067</t>
  </si>
  <si>
    <t>管件</t>
  </si>
  <si>
    <t>ASME法兰</t>
  </si>
  <si>
    <t>N068</t>
  </si>
  <si>
    <t>ASME垫片</t>
  </si>
  <si>
    <t>N069</t>
  </si>
  <si>
    <t>ASME法兰管件</t>
  </si>
  <si>
    <t>N070</t>
  </si>
  <si>
    <t>GB法兰</t>
  </si>
  <si>
    <t>N071</t>
  </si>
  <si>
    <t>GB垫片</t>
  </si>
  <si>
    <t>N072</t>
  </si>
  <si>
    <t>GB法兰管件</t>
  </si>
  <si>
    <t>N073</t>
  </si>
  <si>
    <t>弹簧</t>
  </si>
  <si>
    <t>压缩弹簧</t>
  </si>
  <si>
    <t>N074</t>
  </si>
  <si>
    <t>拉伸弹簧</t>
  </si>
  <si>
    <t>N075</t>
  </si>
  <si>
    <t>扭转弹簧</t>
  </si>
  <si>
    <t>N076</t>
  </si>
  <si>
    <t>碟形弹簧</t>
  </si>
  <si>
    <t>N077</t>
  </si>
  <si>
    <t>模具弹簧</t>
  </si>
  <si>
    <t>N078</t>
  </si>
  <si>
    <t>润滑与密封</t>
  </si>
  <si>
    <t>润滑件</t>
  </si>
  <si>
    <t>N079</t>
  </si>
  <si>
    <t>润滑剂</t>
  </si>
  <si>
    <t>N080</t>
  </si>
  <si>
    <t>密封胶密封</t>
  </si>
  <si>
    <t>N081</t>
  </si>
  <si>
    <t>填料密封</t>
  </si>
  <si>
    <t>N082</t>
  </si>
  <si>
    <t>橡胶密封</t>
  </si>
  <si>
    <t>N083</t>
  </si>
  <si>
    <t>机械密封</t>
  </si>
  <si>
    <t>N084</t>
  </si>
  <si>
    <t>带链传动</t>
  </si>
  <si>
    <t>普通V带</t>
  </si>
  <si>
    <t>N085</t>
  </si>
  <si>
    <t>基准宽度窄V带</t>
  </si>
  <si>
    <t>N086</t>
  </si>
  <si>
    <t>联组窄V带</t>
  </si>
  <si>
    <t>N087</t>
  </si>
  <si>
    <t>圆弧齿同步带</t>
  </si>
  <si>
    <t>N088</t>
  </si>
  <si>
    <t>有效宽度窄V带</t>
  </si>
  <si>
    <t>N089</t>
  </si>
  <si>
    <t>精密滚子链</t>
  </si>
  <si>
    <t>N090</t>
  </si>
  <si>
    <t>焊接弯板链</t>
  </si>
  <si>
    <t>N091</t>
  </si>
  <si>
    <t>钢制套筒链</t>
  </si>
  <si>
    <t>N092</t>
  </si>
  <si>
    <t>操作件、小五金</t>
  </si>
  <si>
    <t>把手</t>
  </si>
  <si>
    <t>N093</t>
  </si>
  <si>
    <t>拉手</t>
  </si>
  <si>
    <t>N094</t>
  </si>
  <si>
    <t>手柄</t>
  </si>
  <si>
    <t>N095</t>
  </si>
  <si>
    <t>手轮</t>
  </si>
  <si>
    <t>N096</t>
  </si>
  <si>
    <t>脚轮</t>
  </si>
  <si>
    <t>N097</t>
  </si>
  <si>
    <t>合页</t>
  </si>
  <si>
    <t>N098</t>
  </si>
  <si>
    <t>插销</t>
  </si>
  <si>
    <t>N099</t>
  </si>
  <si>
    <t>铰链</t>
  </si>
  <si>
    <t>N100</t>
  </si>
  <si>
    <t>支脚</t>
  </si>
  <si>
    <t>N101</t>
  </si>
  <si>
    <t>N102</t>
  </si>
  <si>
    <t>金属丝编织网</t>
  </si>
  <si>
    <t>N103</t>
  </si>
  <si>
    <t>HP型标准丝网</t>
  </si>
  <si>
    <t>N104</t>
  </si>
  <si>
    <t>其它筛网</t>
  </si>
  <si>
    <t>N105</t>
  </si>
  <si>
    <t>液压传动、控制</t>
  </si>
  <si>
    <t>液压辅助元件</t>
  </si>
  <si>
    <t>N106</t>
  </si>
  <si>
    <t>液压缸</t>
  </si>
  <si>
    <t>N107</t>
  </si>
  <si>
    <t>液压泵、马达</t>
  </si>
  <si>
    <t>N108</t>
  </si>
  <si>
    <t>液压控制阀</t>
  </si>
  <si>
    <t>N109</t>
  </si>
  <si>
    <t>液压泵站</t>
  </si>
  <si>
    <t>N110</t>
  </si>
  <si>
    <t>液压系统</t>
  </si>
  <si>
    <t>N111</t>
  </si>
  <si>
    <t>电磁阀（气动液压配件）</t>
  </si>
  <si>
    <t>N112</t>
  </si>
  <si>
    <t>气压传动</t>
  </si>
  <si>
    <t>气动执行元件</t>
  </si>
  <si>
    <t>N113</t>
  </si>
  <si>
    <t>气动辅助元件</t>
  </si>
  <si>
    <t>N114</t>
  </si>
  <si>
    <t>空气净化</t>
  </si>
  <si>
    <t>N115</t>
  </si>
  <si>
    <t>气动阀</t>
  </si>
  <si>
    <t>N116</t>
  </si>
  <si>
    <t>真空元件</t>
  </si>
  <si>
    <t>N117</t>
  </si>
  <si>
    <t>气缸</t>
  </si>
  <si>
    <t>N118</t>
  </si>
  <si>
    <t>阀门</t>
  </si>
  <si>
    <t>球阀</t>
  </si>
  <si>
    <t>N119</t>
  </si>
  <si>
    <t>截止阀</t>
  </si>
  <si>
    <t>N120</t>
  </si>
  <si>
    <t>柱塞阀</t>
  </si>
  <si>
    <t>N121</t>
  </si>
  <si>
    <t>蝶阀</t>
  </si>
  <si>
    <t>N122</t>
  </si>
  <si>
    <t>止回阀</t>
  </si>
  <si>
    <t>N123</t>
  </si>
  <si>
    <t>安全阀</t>
  </si>
  <si>
    <t>N124</t>
  </si>
  <si>
    <t>减压阀</t>
  </si>
  <si>
    <t>N125</t>
  </si>
  <si>
    <t>针阀</t>
  </si>
  <si>
    <t>N126</t>
  </si>
  <si>
    <t>闸阀</t>
  </si>
  <si>
    <t>N127</t>
  </si>
  <si>
    <t>疏水阀</t>
  </si>
  <si>
    <t>N128</t>
  </si>
  <si>
    <t>排气阀</t>
  </si>
  <si>
    <t>N129</t>
  </si>
  <si>
    <t>调节阀</t>
  </si>
  <si>
    <t>N130</t>
  </si>
  <si>
    <t>气动薄膜调节阀</t>
  </si>
  <si>
    <t>N131</t>
  </si>
  <si>
    <t>V型调节球阀</t>
  </si>
  <si>
    <t>N132</t>
  </si>
  <si>
    <t>呼吸阀</t>
  </si>
  <si>
    <t>N133</t>
  </si>
  <si>
    <t>底阀</t>
  </si>
  <si>
    <t>N134</t>
  </si>
  <si>
    <t>其它阀门</t>
  </si>
  <si>
    <t>N135</t>
  </si>
  <si>
    <t>管道阻火器</t>
  </si>
  <si>
    <t>N136</t>
  </si>
  <si>
    <t>管道过滤器</t>
  </si>
  <si>
    <t>N137</t>
  </si>
  <si>
    <t>阀门配件</t>
  </si>
  <si>
    <t>N138</t>
  </si>
  <si>
    <t>填料</t>
  </si>
  <si>
    <t>鲍尔环</t>
  </si>
  <si>
    <t>N139</t>
  </si>
  <si>
    <t>其它填料</t>
  </si>
  <si>
    <t>N140</t>
  </si>
  <si>
    <t>软连接</t>
  </si>
  <si>
    <t>波纹管</t>
  </si>
  <si>
    <t>N141</t>
  </si>
  <si>
    <t>防爆软管</t>
  </si>
  <si>
    <t>N142</t>
  </si>
  <si>
    <t>金属软管</t>
  </si>
  <si>
    <t>N143</t>
  </si>
  <si>
    <t>金属软连接</t>
  </si>
  <si>
    <t>N144</t>
  </si>
  <si>
    <t>膨胀节</t>
  </si>
  <si>
    <t>N145</t>
  </si>
  <si>
    <t>软接头</t>
  </si>
  <si>
    <t>N146</t>
  </si>
  <si>
    <t>橡胶软连接</t>
  </si>
  <si>
    <t>N147</t>
  </si>
  <si>
    <t>其它软连接</t>
  </si>
  <si>
    <t>N148</t>
  </si>
  <si>
    <t>非标预制件</t>
  </si>
  <si>
    <t>电气类</t>
  </si>
  <si>
    <t>开关类</t>
  </si>
  <si>
    <t>框架断路器</t>
  </si>
  <si>
    <t>A001</t>
  </si>
  <si>
    <t>塑壳断路器</t>
  </si>
  <si>
    <t>A002</t>
  </si>
  <si>
    <t>电动机保护断路器</t>
  </si>
  <si>
    <t>A003</t>
  </si>
  <si>
    <t>微型断路器</t>
  </si>
  <si>
    <t>A004</t>
  </si>
  <si>
    <t>熔断开关</t>
  </si>
  <si>
    <t>A005</t>
  </si>
  <si>
    <t>刀闸开关</t>
  </si>
  <si>
    <t>A006</t>
  </si>
  <si>
    <t>开关类产品附件</t>
  </si>
  <si>
    <t>A007</t>
  </si>
  <si>
    <t>双电源</t>
  </si>
  <si>
    <t>A008</t>
  </si>
  <si>
    <t>其它开关</t>
  </si>
  <si>
    <t>A009</t>
  </si>
  <si>
    <t>接触器类</t>
  </si>
  <si>
    <t>交流接触器</t>
  </si>
  <si>
    <t>A010</t>
  </si>
  <si>
    <t>直流接触器</t>
  </si>
  <si>
    <t>A011</t>
  </si>
  <si>
    <t>接触器附件</t>
  </si>
  <si>
    <t>A012</t>
  </si>
  <si>
    <t>热继类</t>
  </si>
  <si>
    <t>热继电器</t>
  </si>
  <si>
    <t>A013</t>
  </si>
  <si>
    <t>热继电器附件</t>
  </si>
  <si>
    <t>A014</t>
  </si>
  <si>
    <t>变频器类</t>
  </si>
  <si>
    <t>高压变频器</t>
  </si>
  <si>
    <t>A015</t>
  </si>
  <si>
    <t>低压变频器</t>
  </si>
  <si>
    <t>A016</t>
  </si>
  <si>
    <t>变频器附件</t>
  </si>
  <si>
    <t>A017</t>
  </si>
  <si>
    <t>软启动类</t>
  </si>
  <si>
    <t>高压软启动器</t>
  </si>
  <si>
    <t>A018</t>
  </si>
  <si>
    <t>低压软启动器</t>
  </si>
  <si>
    <t>A019</t>
  </si>
  <si>
    <t>电动机保护器类</t>
  </si>
  <si>
    <t>低压电动机保护器</t>
  </si>
  <si>
    <t>A020</t>
  </si>
  <si>
    <t>中间继电器类</t>
  </si>
  <si>
    <t>小型继电器</t>
  </si>
  <si>
    <t>A021</t>
  </si>
  <si>
    <t>控制型继电器</t>
  </si>
  <si>
    <t>A022</t>
  </si>
  <si>
    <t>端子型中间继电器</t>
  </si>
  <si>
    <t>A023</t>
  </si>
  <si>
    <t>延时继电器</t>
  </si>
  <si>
    <t>A024</t>
  </si>
  <si>
    <t>中间继电器底座</t>
  </si>
  <si>
    <t>A025</t>
  </si>
  <si>
    <t>按钮指示灯类</t>
  </si>
  <si>
    <t>旋钮</t>
  </si>
  <si>
    <t>A026</t>
  </si>
  <si>
    <t>按钮</t>
  </si>
  <si>
    <t>A027</t>
  </si>
  <si>
    <t>指示灯</t>
  </si>
  <si>
    <t>A028</t>
  </si>
  <si>
    <t>报警</t>
  </si>
  <si>
    <t>A029</t>
  </si>
  <si>
    <t>按钮盒</t>
  </si>
  <si>
    <t>A030</t>
  </si>
  <si>
    <t>按钮底座</t>
  </si>
  <si>
    <t>A031</t>
  </si>
  <si>
    <t>互感器类</t>
  </si>
  <si>
    <t>交流电流互感器</t>
  </si>
  <si>
    <t>A032</t>
  </si>
  <si>
    <t>交流电流变送器</t>
  </si>
  <si>
    <t>A033</t>
  </si>
  <si>
    <t>电量仪表类</t>
  </si>
  <si>
    <t>电流表</t>
  </si>
  <si>
    <t>A034</t>
  </si>
  <si>
    <t>电压表</t>
  </si>
  <si>
    <t>A035</t>
  </si>
  <si>
    <t>频率表</t>
  </si>
  <si>
    <t>A036</t>
  </si>
  <si>
    <t>电能表</t>
  </si>
  <si>
    <t>A037</t>
  </si>
  <si>
    <t>多功能表</t>
  </si>
  <si>
    <t>A038</t>
  </si>
  <si>
    <t>其它电量仪表</t>
  </si>
  <si>
    <t>A039</t>
  </si>
  <si>
    <t>接线端子类</t>
  </si>
  <si>
    <t>螺钉端子</t>
  </si>
  <si>
    <t>A040</t>
  </si>
  <si>
    <t>弹簧端子</t>
  </si>
  <si>
    <t>A041</t>
  </si>
  <si>
    <t>插拔端子</t>
  </si>
  <si>
    <t>A042</t>
  </si>
  <si>
    <t>其它端子</t>
  </si>
  <si>
    <t>A043</t>
  </si>
  <si>
    <t>接插件类</t>
  </si>
  <si>
    <t>矩形接插件</t>
  </si>
  <si>
    <t>A044</t>
  </si>
  <si>
    <t>工业插座</t>
  </si>
  <si>
    <t>A045</t>
  </si>
  <si>
    <t>工业插头</t>
  </si>
  <si>
    <t>A046</t>
  </si>
  <si>
    <t>保护继电器类</t>
  </si>
  <si>
    <t>PTC保护继电器</t>
  </si>
  <si>
    <t>A047</t>
  </si>
  <si>
    <t>相序保护继电器</t>
  </si>
  <si>
    <t>A048</t>
  </si>
  <si>
    <t>电压保护继电器</t>
  </si>
  <si>
    <t>A049</t>
  </si>
  <si>
    <t>漏电保护继电器</t>
  </si>
  <si>
    <t>A050</t>
  </si>
  <si>
    <t>浪涌保护继电器</t>
  </si>
  <si>
    <t>A051</t>
  </si>
  <si>
    <t>其它保护继电器</t>
  </si>
  <si>
    <t>A052</t>
  </si>
  <si>
    <t>变压器类</t>
  </si>
  <si>
    <t>干式变压器</t>
  </si>
  <si>
    <t>A053</t>
  </si>
  <si>
    <t>油浸型变压器</t>
  </si>
  <si>
    <t>A054</t>
  </si>
  <si>
    <t>电气控制箱/柜</t>
  </si>
  <si>
    <t>MCC柜</t>
  </si>
  <si>
    <t>A055</t>
  </si>
  <si>
    <t>现场控制箱</t>
  </si>
  <si>
    <t>A056</t>
  </si>
  <si>
    <t>其它低压电气类</t>
  </si>
  <si>
    <t>A057</t>
  </si>
  <si>
    <t>工控系统</t>
  </si>
  <si>
    <t>PLC/DCS系统</t>
  </si>
  <si>
    <t>电源</t>
  </si>
  <si>
    <t>A100</t>
  </si>
  <si>
    <t>CPU</t>
  </si>
  <si>
    <t>A101</t>
  </si>
  <si>
    <t>导轨</t>
  </si>
  <si>
    <t>A102</t>
  </si>
  <si>
    <t>接口模块</t>
  </si>
  <si>
    <t>A103</t>
  </si>
  <si>
    <t>IO模块</t>
  </si>
  <si>
    <t>A104</t>
  </si>
  <si>
    <t>通讯模块</t>
  </si>
  <si>
    <t>A105</t>
  </si>
  <si>
    <t>交换机</t>
  </si>
  <si>
    <t>A106</t>
  </si>
  <si>
    <t>网络接头</t>
  </si>
  <si>
    <t>A107</t>
  </si>
  <si>
    <t>功能模块</t>
  </si>
  <si>
    <t>A108</t>
  </si>
  <si>
    <t>通讯电缆</t>
  </si>
  <si>
    <t>A109</t>
  </si>
  <si>
    <t>控制软件及授权</t>
  </si>
  <si>
    <t>A110</t>
  </si>
  <si>
    <t>触摸屏</t>
  </si>
  <si>
    <t>A111</t>
  </si>
  <si>
    <t>网关</t>
  </si>
  <si>
    <t>A112</t>
  </si>
  <si>
    <t>前连接器</t>
  </si>
  <si>
    <t>A113</t>
  </si>
  <si>
    <t>CPU存储卡及电池</t>
  </si>
  <si>
    <t>A114</t>
  </si>
  <si>
    <t>PLC其他</t>
  </si>
  <si>
    <t>A115</t>
  </si>
  <si>
    <t>弱电网络系统</t>
  </si>
  <si>
    <t>光缆</t>
  </si>
  <si>
    <t>A116</t>
  </si>
  <si>
    <t>光纤交换机</t>
  </si>
  <si>
    <t>A117</t>
  </si>
  <si>
    <t>光纤收发器</t>
  </si>
  <si>
    <t>A118</t>
  </si>
  <si>
    <t>计算机主机</t>
  </si>
  <si>
    <t>商务计算机</t>
  </si>
  <si>
    <t>A119</t>
  </si>
  <si>
    <t>工业计算机</t>
  </si>
  <si>
    <t>A120</t>
  </si>
  <si>
    <t>计算机软件</t>
  </si>
  <si>
    <t>操作系统</t>
  </si>
  <si>
    <t>A121</t>
  </si>
  <si>
    <t>计算机配件</t>
  </si>
  <si>
    <t>鼠标</t>
  </si>
  <si>
    <t>A122</t>
  </si>
  <si>
    <t>键盘</t>
  </si>
  <si>
    <t>A123</t>
  </si>
  <si>
    <t>连接线</t>
  </si>
  <si>
    <t>A124</t>
  </si>
  <si>
    <t>网卡</t>
  </si>
  <si>
    <t>A125</t>
  </si>
  <si>
    <t>内存</t>
  </si>
  <si>
    <t>A126</t>
  </si>
  <si>
    <t>硬盘</t>
  </si>
  <si>
    <t>A127</t>
  </si>
  <si>
    <t>显卡</t>
  </si>
  <si>
    <t>A128</t>
  </si>
  <si>
    <t>显示器</t>
  </si>
  <si>
    <t>液晶显示器</t>
  </si>
  <si>
    <t>A129</t>
  </si>
  <si>
    <t>音箱</t>
  </si>
  <si>
    <t>A130</t>
  </si>
  <si>
    <t>打印机</t>
  </si>
  <si>
    <t>A3打印机</t>
  </si>
  <si>
    <t>A131</t>
  </si>
  <si>
    <t>A4打印机</t>
  </si>
  <si>
    <t>A132</t>
  </si>
  <si>
    <t>操作台</t>
  </si>
  <si>
    <t>标准操作台</t>
  </si>
  <si>
    <t>A133</t>
  </si>
  <si>
    <t>定制操作台</t>
  </si>
  <si>
    <t>A134</t>
  </si>
  <si>
    <t>UPS电源</t>
  </si>
  <si>
    <t>UPS工业电源</t>
  </si>
  <si>
    <t>A135</t>
  </si>
  <si>
    <t>工控控制箱/柜</t>
  </si>
  <si>
    <t>工控机柜</t>
  </si>
  <si>
    <t>A136</t>
  </si>
  <si>
    <t>小型工控箱</t>
  </si>
  <si>
    <t>A137</t>
  </si>
  <si>
    <t>电气安装材料</t>
  </si>
  <si>
    <t>电缆</t>
  </si>
  <si>
    <t>动力电缆</t>
  </si>
  <si>
    <t>A200</t>
  </si>
  <si>
    <t>信号电缆</t>
  </si>
  <si>
    <t>A201</t>
  </si>
  <si>
    <t>高压电缆</t>
  </si>
  <si>
    <t>A202</t>
  </si>
  <si>
    <t>桥架</t>
  </si>
  <si>
    <t>直通</t>
  </si>
  <si>
    <t>A203</t>
  </si>
  <si>
    <t>弯头</t>
  </si>
  <si>
    <t>A204</t>
  </si>
  <si>
    <t>变径</t>
  </si>
  <si>
    <t>A205</t>
  </si>
  <si>
    <t>盖板</t>
  </si>
  <si>
    <t>A206</t>
  </si>
  <si>
    <t>软管</t>
  </si>
  <si>
    <t>A207</t>
  </si>
  <si>
    <t>防爆挠性软管</t>
  </si>
  <si>
    <t>A208</t>
  </si>
  <si>
    <t>塑料软管</t>
  </si>
  <si>
    <t>A209</t>
  </si>
  <si>
    <t>尼龙软管</t>
  </si>
  <si>
    <t>A210</t>
  </si>
  <si>
    <t>软管接头</t>
  </si>
  <si>
    <t>A211</t>
  </si>
  <si>
    <t>电缆密封接头</t>
  </si>
  <si>
    <t>A212</t>
  </si>
  <si>
    <t>接线铜鼻</t>
  </si>
  <si>
    <t>开口接线鼻</t>
  </si>
  <si>
    <t>A213</t>
  </si>
  <si>
    <t>管状接线鼻</t>
  </si>
  <si>
    <t>A214</t>
  </si>
  <si>
    <t>安装辅材</t>
  </si>
  <si>
    <t>管卡</t>
  </si>
  <si>
    <t>A215</t>
  </si>
  <si>
    <t>电工胶布</t>
  </si>
  <si>
    <t>A216</t>
  </si>
  <si>
    <t>扎带</t>
  </si>
  <si>
    <t>A217</t>
  </si>
  <si>
    <t>护口</t>
  </si>
  <si>
    <t>A218</t>
  </si>
  <si>
    <t>锁母</t>
  </si>
  <si>
    <t>A219</t>
  </si>
  <si>
    <t>防爆泥</t>
  </si>
  <si>
    <t>A220</t>
  </si>
  <si>
    <t>其它辅材</t>
  </si>
  <si>
    <t>A221</t>
  </si>
  <si>
    <t>传感器</t>
  </si>
  <si>
    <t>连续物位测量</t>
  </si>
  <si>
    <t>雷达物位传感器</t>
  </si>
  <si>
    <t>A300</t>
  </si>
  <si>
    <t>超声波物位传感器</t>
  </si>
  <si>
    <t>A301</t>
  </si>
  <si>
    <t>静压式液位变送器</t>
  </si>
  <si>
    <t>A302</t>
  </si>
  <si>
    <t>双法兰液位变送器</t>
  </si>
  <si>
    <t>A303</t>
  </si>
  <si>
    <r>
      <rPr>
        <sz val="11"/>
        <color theme="1"/>
        <rFont val="微软雅黑"/>
        <charset val="134"/>
      </rPr>
      <t>导</t>
    </r>
    <r>
      <rPr>
        <b/>
        <sz val="11"/>
        <color theme="1"/>
        <rFont val="微软雅黑"/>
        <charset val="134"/>
      </rPr>
      <t>波</t>
    </r>
    <r>
      <rPr>
        <sz val="11"/>
        <color theme="1"/>
        <rFont val="微软雅黑"/>
        <charset val="134"/>
      </rPr>
      <t>雷达物位传感器</t>
    </r>
  </si>
  <si>
    <t>A304</t>
  </si>
  <si>
    <t>连杆浮球液位传感器</t>
  </si>
  <si>
    <t>A305</t>
  </si>
  <si>
    <t>磁翻板液位计</t>
  </si>
  <si>
    <t>A306</t>
  </si>
  <si>
    <t>投入式压力变送器</t>
  </si>
  <si>
    <t>A307</t>
  </si>
  <si>
    <t>角度变送器</t>
  </si>
  <si>
    <t>A308</t>
  </si>
  <si>
    <t>其它形式连续物位测量</t>
  </si>
  <si>
    <t>A309</t>
  </si>
  <si>
    <t>物位开关</t>
  </si>
  <si>
    <t>音叉物位开关</t>
  </si>
  <si>
    <t>A310</t>
  </si>
  <si>
    <t>浮球液位开关</t>
  </si>
  <si>
    <t>A311</t>
  </si>
  <si>
    <t>电容物位开关</t>
  </si>
  <si>
    <t>A312</t>
  </si>
  <si>
    <t>射频导纳物位开关</t>
  </si>
  <si>
    <t>A313</t>
  </si>
  <si>
    <t>阻旋物位开关</t>
  </si>
  <si>
    <t>A314</t>
  </si>
  <si>
    <t>膜片式料位开关</t>
  </si>
  <si>
    <t>A315</t>
  </si>
  <si>
    <t>防溢流传感器</t>
  </si>
  <si>
    <t>A316</t>
  </si>
  <si>
    <t>其它形式的物位开关</t>
  </si>
  <si>
    <t>A317</t>
  </si>
  <si>
    <t>流量测量</t>
  </si>
  <si>
    <t>电磁流量计</t>
  </si>
  <si>
    <t>A318</t>
  </si>
  <si>
    <t>科氏力质量流量计</t>
  </si>
  <si>
    <t>A319</t>
  </si>
  <si>
    <t>转子流量计</t>
  </si>
  <si>
    <t>A320</t>
  </si>
  <si>
    <t>齿轮流量计</t>
  </si>
  <si>
    <t>A321</t>
  </si>
  <si>
    <t>涡街流量计</t>
  </si>
  <si>
    <t>A322</t>
  </si>
  <si>
    <t>超声波流量计</t>
  </si>
  <si>
    <t>A323</t>
  </si>
  <si>
    <t>差压式流量计</t>
  </si>
  <si>
    <t>A324</t>
  </si>
  <si>
    <t>热式质量流量计</t>
  </si>
  <si>
    <t>A325</t>
  </si>
  <si>
    <t>流量开关</t>
  </si>
  <si>
    <t>A326</t>
  </si>
  <si>
    <t>其它形式的流量计</t>
  </si>
  <si>
    <t>A327</t>
  </si>
  <si>
    <t>温湿度测量</t>
  </si>
  <si>
    <t>一体化温度变送器</t>
  </si>
  <si>
    <t>A328</t>
  </si>
  <si>
    <t>热电阻</t>
  </si>
  <si>
    <t>A329</t>
  </si>
  <si>
    <t>热电偶</t>
  </si>
  <si>
    <t>A330</t>
  </si>
  <si>
    <t>无线测温传感器</t>
  </si>
  <si>
    <t>A331</t>
  </si>
  <si>
    <t>无线测温控制器</t>
  </si>
  <si>
    <t>A332</t>
  </si>
  <si>
    <t>多点温度计</t>
  </si>
  <si>
    <t>A333</t>
  </si>
  <si>
    <t>测温电缆光缆</t>
  </si>
  <si>
    <t>A334</t>
  </si>
  <si>
    <t>测温电缆光缆主机</t>
  </si>
  <si>
    <t>A335</t>
  </si>
  <si>
    <t>温度变送器</t>
  </si>
  <si>
    <t>A336</t>
  </si>
  <si>
    <t>温湿度变送器</t>
  </si>
  <si>
    <t>A337</t>
  </si>
  <si>
    <t>压力测量</t>
  </si>
  <si>
    <t>A338</t>
  </si>
  <si>
    <t>表压压力变送器</t>
  </si>
  <si>
    <t>A339</t>
  </si>
  <si>
    <t>绝压压力变送器</t>
  </si>
  <si>
    <t>A340</t>
  </si>
  <si>
    <t>差压压力变送器</t>
  </si>
  <si>
    <t>A341</t>
  </si>
  <si>
    <t>电接点压力表</t>
  </si>
  <si>
    <t>A342</t>
  </si>
  <si>
    <t>压力开关</t>
  </si>
  <si>
    <t>A343</t>
  </si>
  <si>
    <t>压差开关</t>
  </si>
  <si>
    <t>A344</t>
  </si>
  <si>
    <t>位置检测</t>
  </si>
  <si>
    <t>行程开关</t>
  </si>
  <si>
    <t>A345</t>
  </si>
  <si>
    <t>电容式接近开关</t>
  </si>
  <si>
    <t>A346</t>
  </si>
  <si>
    <t>电感式接近开关</t>
  </si>
  <si>
    <t>A347</t>
  </si>
  <si>
    <t>光电开关</t>
  </si>
  <si>
    <t>A348</t>
  </si>
  <si>
    <t>拉绳开关</t>
  </si>
  <si>
    <t>A350</t>
  </si>
  <si>
    <t>其它类型的位置开关</t>
  </si>
  <si>
    <t>A351</t>
  </si>
  <si>
    <t>称重装置</t>
  </si>
  <si>
    <t>称重传感器</t>
  </si>
  <si>
    <t>A352</t>
  </si>
  <si>
    <t>称重仪表</t>
  </si>
  <si>
    <t>A353</t>
  </si>
  <si>
    <t>称重装置辅件</t>
  </si>
  <si>
    <t>A354</t>
  </si>
  <si>
    <t>振动测量</t>
  </si>
  <si>
    <t>振动加速度传感器</t>
  </si>
  <si>
    <t>A355</t>
  </si>
  <si>
    <t>可燃有毒检测</t>
  </si>
  <si>
    <t>可燃气体LEL监测</t>
  </si>
  <si>
    <t>A356</t>
  </si>
  <si>
    <t>有毒气体检测</t>
  </si>
  <si>
    <t>A357</t>
  </si>
  <si>
    <t>火花检测</t>
  </si>
  <si>
    <t>火花探测器</t>
  </si>
  <si>
    <t>A358</t>
  </si>
  <si>
    <t>分析仪表</t>
  </si>
  <si>
    <t>PH测量</t>
  </si>
  <si>
    <t>A359</t>
  </si>
  <si>
    <t>电导率测量</t>
  </si>
  <si>
    <t>A360</t>
  </si>
  <si>
    <t>溶氧测量</t>
  </si>
  <si>
    <t>A361</t>
  </si>
  <si>
    <t>在线分析仪</t>
  </si>
  <si>
    <t>A362</t>
  </si>
  <si>
    <t>粉尘检测</t>
  </si>
  <si>
    <t>粉尘浓度检测</t>
  </si>
  <si>
    <t>A363</t>
  </si>
  <si>
    <t>密度检测</t>
  </si>
  <si>
    <t>密度计</t>
  </si>
  <si>
    <t>A364</t>
  </si>
  <si>
    <t>传感器安装附件</t>
  </si>
  <si>
    <t>安装法兰</t>
  </si>
  <si>
    <t>A365</t>
  </si>
  <si>
    <t>焊接底座</t>
  </si>
  <si>
    <t>A366</t>
  </si>
  <si>
    <t>固定支架</t>
  </si>
  <si>
    <t>A367</t>
  </si>
  <si>
    <t>压力传感器取压组件</t>
  </si>
  <si>
    <t>A368</t>
  </si>
  <si>
    <t>其它类型的传感器</t>
  </si>
  <si>
    <t>A369</t>
  </si>
  <si>
    <t>自控阀门</t>
  </si>
  <si>
    <t>气动开关阀</t>
  </si>
  <si>
    <t>气动开关球阀</t>
  </si>
  <si>
    <t>A400</t>
  </si>
  <si>
    <t>气动开关V型球阀</t>
  </si>
  <si>
    <t>A401</t>
  </si>
  <si>
    <t>气动开关三通球阀</t>
  </si>
  <si>
    <t>A402</t>
  </si>
  <si>
    <t>气动开关蝶阀</t>
  </si>
  <si>
    <t>A403</t>
  </si>
  <si>
    <t>气动开关闸板阀</t>
  </si>
  <si>
    <t>A404</t>
  </si>
  <si>
    <t>气动开关角座阀</t>
  </si>
  <si>
    <t>A405</t>
  </si>
  <si>
    <t>气动开关隔膜阀</t>
  </si>
  <si>
    <t>A406</t>
  </si>
  <si>
    <t>气动调节阀</t>
  </si>
  <si>
    <t>A407</t>
  </si>
  <si>
    <t>气动调节球阀</t>
  </si>
  <si>
    <t>A408</t>
  </si>
  <si>
    <t>气动调节V型球阀</t>
  </si>
  <si>
    <t>A409</t>
  </si>
  <si>
    <t>气动调节闸板阀</t>
  </si>
  <si>
    <t>A410</t>
  </si>
  <si>
    <t>气动调节蝶阀</t>
  </si>
  <si>
    <t>A411</t>
  </si>
  <si>
    <t>气动调节隔膜阀</t>
  </si>
  <si>
    <t>A412</t>
  </si>
  <si>
    <t>自控阀阀体</t>
  </si>
  <si>
    <t>球阀阀体</t>
  </si>
  <si>
    <t>A413</t>
  </si>
  <si>
    <t>V型球阀阀体</t>
  </si>
  <si>
    <t>A414</t>
  </si>
  <si>
    <t>三通球阀阀体</t>
  </si>
  <si>
    <t>A415</t>
  </si>
  <si>
    <t>蝶阀阀体</t>
  </si>
  <si>
    <t>A416</t>
  </si>
  <si>
    <t>闸板阀阀体</t>
  </si>
  <si>
    <t>A417</t>
  </si>
  <si>
    <t>角座阀阀体</t>
  </si>
  <si>
    <t>A418</t>
  </si>
  <si>
    <t>隔膜阀阀体</t>
  </si>
  <si>
    <t>A419</t>
  </si>
  <si>
    <t>其它自控阀阀体</t>
  </si>
  <si>
    <t>A420</t>
  </si>
  <si>
    <t>电动调节阀</t>
  </si>
  <si>
    <t>电动调节蝶阀</t>
  </si>
  <si>
    <t>A421</t>
  </si>
  <si>
    <t>电动调节风门</t>
  </si>
  <si>
    <t>A422</t>
  </si>
  <si>
    <t>自控阀配件</t>
  </si>
  <si>
    <t>电磁阀</t>
  </si>
  <si>
    <t>A423</t>
  </si>
  <si>
    <t>定位器</t>
  </si>
  <si>
    <t>A424</t>
  </si>
  <si>
    <t>位置反馈装置</t>
  </si>
  <si>
    <t>A425</t>
  </si>
  <si>
    <t>角行程气动执行器</t>
  </si>
  <si>
    <t>A426</t>
  </si>
  <si>
    <t>薄膜型气动执行器</t>
  </si>
  <si>
    <t>A427</t>
  </si>
  <si>
    <t>直行程气动执行器</t>
  </si>
  <si>
    <t>A428</t>
  </si>
  <si>
    <t>过滤减压阀</t>
  </si>
  <si>
    <t>A429</t>
  </si>
  <si>
    <t>其它自控阀门配件</t>
  </si>
  <si>
    <t>A430</t>
  </si>
  <si>
    <t>其它类型的自控阀</t>
  </si>
  <si>
    <t>A431</t>
  </si>
  <si>
    <t>螺旋出仓机</t>
  </si>
  <si>
    <t>CCJL</t>
  </si>
  <si>
    <t>旋转堆包机</t>
  </si>
  <si>
    <t>CDJZ</t>
  </si>
  <si>
    <t>积尘料斗</t>
  </si>
  <si>
    <t>CJDT</t>
  </si>
  <si>
    <t>螺旋清仓机</t>
  </si>
  <si>
    <t>CQJL</t>
  </si>
  <si>
    <t>缓冲仓</t>
  </si>
  <si>
    <t>CXDA</t>
  </si>
  <si>
    <t>破拱斗</t>
  </si>
  <si>
    <t>CXPG</t>
  </si>
  <si>
    <t>卸料栅格</t>
  </si>
  <si>
    <t>CXSG</t>
  </si>
  <si>
    <t>组合式皮仓</t>
  </si>
  <si>
    <t>CZHC</t>
  </si>
  <si>
    <t>圆仓</t>
  </si>
  <si>
    <t>DCCY</t>
  </si>
  <si>
    <t>储罐</t>
  </si>
  <si>
    <t>DCGY</t>
  </si>
  <si>
    <t>沉降槽</t>
  </si>
  <si>
    <t>DCJC</t>
  </si>
  <si>
    <t>沉降罐</t>
  </si>
  <si>
    <t>DCJG</t>
  </si>
  <si>
    <t>干燥冷却器</t>
  </si>
  <si>
    <t>DC</t>
  </si>
  <si>
    <t>底流罐</t>
  </si>
  <si>
    <t>DDLG</t>
  </si>
  <si>
    <t>蜗壳分离器</t>
  </si>
  <si>
    <t>DFWK</t>
  </si>
  <si>
    <t>烘干管道</t>
  </si>
  <si>
    <t>DHGG</t>
  </si>
  <si>
    <t>平底搅拌罐</t>
  </si>
  <si>
    <t>DJBP</t>
  </si>
  <si>
    <t>搅拌槽</t>
  </si>
  <si>
    <t>DJCC</t>
  </si>
  <si>
    <t>封头搅拌罐</t>
  </si>
  <si>
    <t>DJFG</t>
  </si>
  <si>
    <t>面筋脱水机</t>
  </si>
  <si>
    <t>DJGL</t>
  </si>
  <si>
    <t>卧式结晶机</t>
  </si>
  <si>
    <t>DJJW</t>
  </si>
  <si>
    <t>浸泡罐</t>
  </si>
  <si>
    <t>DJPG</t>
  </si>
  <si>
    <t>蜂窝板夹套罐</t>
  </si>
  <si>
    <t>DJRJ</t>
  </si>
  <si>
    <t>夹套加热器</t>
  </si>
  <si>
    <t>DJRT</t>
  </si>
  <si>
    <t>斜底搅拌罐</t>
  </si>
  <si>
    <t>DJXG</t>
  </si>
  <si>
    <t>锥底搅拌罐</t>
  </si>
  <si>
    <t>DJZG</t>
  </si>
  <si>
    <t>冷凝水罐</t>
  </si>
  <si>
    <t>DNSG</t>
  </si>
  <si>
    <t>湿蛋白破碎机</t>
  </si>
  <si>
    <t>DPSJ</t>
  </si>
  <si>
    <t>汽液分离器</t>
  </si>
  <si>
    <t>DQYQ</t>
  </si>
  <si>
    <t>硫磺燃烧炉</t>
  </si>
  <si>
    <t>DRSL</t>
  </si>
  <si>
    <t>旋转闪蒸器</t>
  </si>
  <si>
    <t>DSZQ</t>
  </si>
  <si>
    <t>储槽</t>
  </si>
  <si>
    <t>DTCC</t>
  </si>
  <si>
    <t>立式蒸脱机</t>
  </si>
  <si>
    <t>DTDC</t>
  </si>
  <si>
    <t>封头罐</t>
  </si>
  <si>
    <t>DTFG</t>
  </si>
  <si>
    <t>投料口</t>
  </si>
  <si>
    <t>DTLK</t>
  </si>
  <si>
    <t>平底罐</t>
  </si>
  <si>
    <t>DTPG</t>
  </si>
  <si>
    <t>滚筒滤水筛</t>
  </si>
  <si>
    <t>DTSG</t>
  </si>
  <si>
    <t>平板滤水筛</t>
  </si>
  <si>
    <t>DTSS</t>
  </si>
  <si>
    <t>斜底罐</t>
  </si>
  <si>
    <t>DTXG</t>
  </si>
  <si>
    <t>暂存仓</t>
  </si>
  <si>
    <t>DTZC</t>
  </si>
  <si>
    <t>锥底罐</t>
  </si>
  <si>
    <t>DTZG</t>
  </si>
  <si>
    <t>DT</t>
  </si>
  <si>
    <t>鱼嘴喂料器</t>
  </si>
  <si>
    <t>DWLY</t>
  </si>
  <si>
    <t>纤维洗涤槽</t>
  </si>
  <si>
    <t>DXDC</t>
  </si>
  <si>
    <t>DXLB</t>
  </si>
  <si>
    <t>洗涤旋流器</t>
  </si>
  <si>
    <t>DXLD</t>
  </si>
  <si>
    <t>DXLP</t>
  </si>
  <si>
    <t>DXLS</t>
  </si>
  <si>
    <t>二氧化硫吸收塔</t>
  </si>
  <si>
    <t>DXST</t>
  </si>
  <si>
    <t>消音器</t>
  </si>
  <si>
    <t>DXYQ</t>
  </si>
  <si>
    <t>多级液化器</t>
  </si>
  <si>
    <t>DYHQ</t>
  </si>
  <si>
    <t>溢流罐</t>
  </si>
  <si>
    <t>DYLG</t>
  </si>
  <si>
    <t>DYQS</t>
  </si>
  <si>
    <t>打板扬升器</t>
  </si>
  <si>
    <t>DYSB</t>
  </si>
  <si>
    <t>轮式扬升器</t>
  </si>
  <si>
    <t>DYSL</t>
  </si>
  <si>
    <t>DZQW</t>
  </si>
  <si>
    <t>布翻机</t>
  </si>
  <si>
    <t>FBFJ</t>
  </si>
  <si>
    <t>布料机</t>
  </si>
  <si>
    <t>FBLJ</t>
  </si>
  <si>
    <t>布酱机</t>
  </si>
  <si>
    <t>FBZJ</t>
  </si>
  <si>
    <t>轨道车</t>
  </si>
  <si>
    <t>FCGD</t>
  </si>
  <si>
    <t>出料机</t>
  </si>
  <si>
    <t>FCLJ</t>
  </si>
  <si>
    <t>气垫转运车</t>
  </si>
  <si>
    <t>FCQD</t>
  </si>
  <si>
    <t>翻料机</t>
  </si>
  <si>
    <t>FFLJ</t>
  </si>
  <si>
    <t>生态发酵机</t>
  </si>
  <si>
    <t>FFTJ</t>
  </si>
  <si>
    <t>膜式过滤器</t>
  </si>
  <si>
    <t>FGLM</t>
  </si>
  <si>
    <t>过渡笼</t>
  </si>
  <si>
    <t>FLGJ</t>
  </si>
  <si>
    <t>轻压笼</t>
  </si>
  <si>
    <t>FLQJ</t>
  </si>
  <si>
    <t>重压笼</t>
  </si>
  <si>
    <t>FLZJ</t>
  </si>
  <si>
    <t>好氧发酵床及附件</t>
  </si>
  <si>
    <t>FPCH</t>
  </si>
  <si>
    <t>厌氧发酵床及附件</t>
  </si>
  <si>
    <t>FPCY</t>
  </si>
  <si>
    <t>螺带斗式发酵机</t>
  </si>
  <si>
    <t>FPDL</t>
  </si>
  <si>
    <t>配料秤</t>
  </si>
  <si>
    <t>FPLD</t>
  </si>
  <si>
    <t>转臂发酵机</t>
  </si>
  <si>
    <t>FPXB</t>
  </si>
  <si>
    <t>转盘发酵机</t>
  </si>
  <si>
    <t>FPXP</t>
  </si>
  <si>
    <t>豆粕冷风机</t>
  </si>
  <si>
    <t>FQDD</t>
  </si>
  <si>
    <t>小麦冷风机</t>
  </si>
  <si>
    <t>FQDM</t>
  </si>
  <si>
    <t>摊凉机</t>
  </si>
  <si>
    <t>FQDQ</t>
  </si>
  <si>
    <t>回转蒸煮罐</t>
  </si>
  <si>
    <t>FZQX</t>
  </si>
  <si>
    <t>料斗提升机</t>
  </si>
  <si>
    <t>HFLJ</t>
  </si>
  <si>
    <t>节能蒸发罐</t>
  </si>
  <si>
    <t>JGGG</t>
  </si>
  <si>
    <t>结晶器DTB</t>
  </si>
  <si>
    <t>JGJD</t>
  </si>
  <si>
    <t>结晶器FC</t>
  </si>
  <si>
    <t>JGJF</t>
  </si>
  <si>
    <t>结晶器OSLO</t>
  </si>
  <si>
    <t>JGJO</t>
  </si>
  <si>
    <t>稠厚罐</t>
  </si>
  <si>
    <t>JHJM</t>
  </si>
  <si>
    <t>节能表冷器</t>
  </si>
  <si>
    <t>JNBL</t>
  </si>
  <si>
    <t>节能换热器</t>
  </si>
  <si>
    <t>JNHR</t>
  </si>
  <si>
    <t>洗涤塔L</t>
  </si>
  <si>
    <t>JXDP</t>
  </si>
  <si>
    <t>多程降膜蒸发器</t>
  </si>
  <si>
    <t>JZDC</t>
  </si>
  <si>
    <t>横管降膜式蒸发器</t>
  </si>
  <si>
    <t>JZFH</t>
  </si>
  <si>
    <t>降膜蒸发器F</t>
  </si>
  <si>
    <t>JZFJ</t>
  </si>
  <si>
    <t>循环加热器L</t>
  </si>
  <si>
    <t>JZFX</t>
  </si>
  <si>
    <t>分级机</t>
  </si>
  <si>
    <t>KFJP</t>
  </si>
  <si>
    <t>分选机</t>
  </si>
  <si>
    <t>KFXG</t>
  </si>
  <si>
    <t>落地磨机</t>
  </si>
  <si>
    <t>KYML</t>
  </si>
  <si>
    <t>针型冲击磨</t>
  </si>
  <si>
    <t>MCMZ</t>
  </si>
  <si>
    <t>打散机</t>
  </si>
  <si>
    <t>MFJD</t>
  </si>
  <si>
    <t>圆筒分离筛</t>
  </si>
  <si>
    <t>MFLY</t>
  </si>
  <si>
    <t>齿辊粉碎机</t>
  </si>
  <si>
    <t>MFSG</t>
  </si>
  <si>
    <t>盘式破碎机</t>
  </si>
  <si>
    <t>MFSP</t>
  </si>
  <si>
    <t>MGLL</t>
  </si>
  <si>
    <t>旋转过滤器</t>
  </si>
  <si>
    <t>MGLX</t>
  </si>
  <si>
    <t>螺旋输送挤干机</t>
  </si>
  <si>
    <t>MJGA</t>
  </si>
  <si>
    <t>螺旋挤干机</t>
  </si>
  <si>
    <t>MJGL</t>
  </si>
  <si>
    <t>液压挤干机</t>
  </si>
  <si>
    <t>MJGY</t>
  </si>
  <si>
    <t>立式离心筛</t>
  </si>
  <si>
    <t>MLSL</t>
  </si>
  <si>
    <t>MLXD</t>
  </si>
  <si>
    <t>MLXW</t>
  </si>
  <si>
    <t>对辊破碎机</t>
  </si>
  <si>
    <t>MPSG</t>
  </si>
  <si>
    <t>缓冲斗</t>
  </si>
  <si>
    <t>MQQT</t>
  </si>
  <si>
    <t>布袋过滤器</t>
  </si>
  <si>
    <t>MSZQ</t>
  </si>
  <si>
    <t>投饵机</t>
  </si>
  <si>
    <t>MTEJ</t>
  </si>
  <si>
    <t>MTPM</t>
  </si>
  <si>
    <t>油料轧胚机</t>
  </si>
  <si>
    <t>MYPG</t>
  </si>
  <si>
    <t>棕榈榨机</t>
  </si>
  <si>
    <t>MYZL</t>
  </si>
  <si>
    <t>螺旋压榨机</t>
  </si>
  <si>
    <t>MZYL</t>
  </si>
  <si>
    <t>缓存罐</t>
  </si>
  <si>
    <t>QMBG</t>
  </si>
  <si>
    <t>筛选磨边机</t>
  </si>
  <si>
    <t>QMBS</t>
  </si>
  <si>
    <t>融化罐</t>
  </si>
  <si>
    <t>QRHG</t>
  </si>
  <si>
    <t>涂层机</t>
  </si>
  <si>
    <t>QTCG</t>
  </si>
  <si>
    <t>一涂罐</t>
  </si>
  <si>
    <t>QYTG</t>
  </si>
  <si>
    <t>暂存罐</t>
  </si>
  <si>
    <t>QZCG</t>
  </si>
  <si>
    <t>离交柱</t>
  </si>
  <si>
    <t>SLJZ</t>
  </si>
  <si>
    <t>色谱柱</t>
  </si>
  <si>
    <t>SSPZ</t>
  </si>
  <si>
    <t>维持管</t>
  </si>
  <si>
    <t>SWCG</t>
  </si>
  <si>
    <t>异构柱</t>
  </si>
  <si>
    <t>SYGZ</t>
  </si>
  <si>
    <t>滚筒磁选机</t>
  </si>
  <si>
    <t>TCXG</t>
  </si>
  <si>
    <t>板式磁选器</t>
  </si>
  <si>
    <t>TCXP</t>
  </si>
  <si>
    <t>链式皮带机</t>
  </si>
  <si>
    <t>TDSL</t>
  </si>
  <si>
    <t>斗式提升机</t>
  </si>
  <si>
    <t>TDTG</t>
  </si>
  <si>
    <t>气动风阀</t>
  </si>
  <si>
    <t>TFFQ</t>
  </si>
  <si>
    <t>气动风门</t>
  </si>
  <si>
    <t>TFMQ</t>
  </si>
  <si>
    <t>手动风门</t>
  </si>
  <si>
    <t>TFMS</t>
  </si>
  <si>
    <t>粉末收集室</t>
  </si>
  <si>
    <t>TFSJ</t>
  </si>
  <si>
    <t>叶轮关风器</t>
  </si>
  <si>
    <t>TGFY</t>
  </si>
  <si>
    <t>管束进料绞龙</t>
  </si>
  <si>
    <t>TGJL</t>
  </si>
  <si>
    <t>滚筒冷却机</t>
  </si>
  <si>
    <t>TGLJ</t>
  </si>
  <si>
    <t>过滤器</t>
  </si>
  <si>
    <t>TGLQ</t>
  </si>
  <si>
    <t>管束干燥机</t>
  </si>
  <si>
    <t>TGZG</t>
  </si>
  <si>
    <t>活态烘干塔</t>
  </si>
  <si>
    <t>TGZN</t>
  </si>
  <si>
    <t>气流干燥</t>
  </si>
  <si>
    <t>TGZQ</t>
  </si>
  <si>
    <t>桨叶混合机</t>
  </si>
  <si>
    <t>THHJ</t>
  </si>
  <si>
    <t>皮粕混合机</t>
  </si>
  <si>
    <t>THHL</t>
  </si>
  <si>
    <t>连续混合机</t>
  </si>
  <si>
    <t>THSJ</t>
  </si>
  <si>
    <t>美式刹克龙</t>
  </si>
  <si>
    <t>TLCA</t>
  </si>
  <si>
    <t>透气帽</t>
  </si>
  <si>
    <t>TLCB</t>
  </si>
  <si>
    <t>布筒滤尘器</t>
  </si>
  <si>
    <t>TLCM</t>
  </si>
  <si>
    <t>外旋刹克龙</t>
  </si>
  <si>
    <t>TLCW</t>
  </si>
  <si>
    <t>55型刹克龙</t>
  </si>
  <si>
    <t>TLCX</t>
  </si>
  <si>
    <t>60型刹克龙</t>
  </si>
  <si>
    <t>TLCY</t>
  </si>
  <si>
    <t>表面冷凝器</t>
  </si>
  <si>
    <t>TLNB</t>
  </si>
  <si>
    <t>料封绞龙</t>
  </si>
  <si>
    <t>TLSF</t>
  </si>
  <si>
    <t>螺旋输送机L</t>
  </si>
  <si>
    <t>TLSL</t>
  </si>
  <si>
    <t>螺旋输送机U</t>
  </si>
  <si>
    <t>TLSU</t>
  </si>
  <si>
    <t>螺旋输送机Y</t>
  </si>
  <si>
    <t>TLSY</t>
  </si>
  <si>
    <t>提升刮板</t>
  </si>
  <si>
    <t>TMCF</t>
  </si>
  <si>
    <t>环形刮板</t>
  </si>
  <si>
    <t>TMPT</t>
  </si>
  <si>
    <t>刮板冷却器</t>
  </si>
  <si>
    <t>TMSC</t>
  </si>
  <si>
    <t>平刮板</t>
  </si>
  <si>
    <t>TMSS</t>
  </si>
  <si>
    <t>油刮板</t>
  </si>
  <si>
    <t>TMSY</t>
  </si>
  <si>
    <t>插板门Y</t>
  </si>
  <si>
    <t>TMZS</t>
  </si>
  <si>
    <t>双层平面回转筛</t>
  </si>
  <si>
    <t>TQLD</t>
  </si>
  <si>
    <t>单层平面回转筛</t>
  </si>
  <si>
    <t>TQLM</t>
  </si>
  <si>
    <t>回转分级筛</t>
  </si>
  <si>
    <t>TQLP</t>
  </si>
  <si>
    <t>清籽机</t>
  </si>
  <si>
    <t>TQLZ</t>
  </si>
  <si>
    <t>重力分级去石机XH</t>
  </si>
  <si>
    <t>TQSF</t>
  </si>
  <si>
    <t>液压翻板</t>
  </si>
  <si>
    <t>TQXH</t>
  </si>
  <si>
    <t>蛋白分离筛</t>
  </si>
  <si>
    <t>TSDB</t>
  </si>
  <si>
    <t>螺旋喂料器</t>
  </si>
  <si>
    <t>TWLL</t>
  </si>
  <si>
    <t>双叶轮喂料器</t>
  </si>
  <si>
    <t>TWLS</t>
  </si>
  <si>
    <t>吸风分离器</t>
  </si>
  <si>
    <t>TXFQ</t>
  </si>
  <si>
    <t>旋转阀</t>
  </si>
  <si>
    <t>TXFY</t>
  </si>
  <si>
    <t>降膜蒸发器</t>
  </si>
  <si>
    <t>TZFJ</t>
  </si>
  <si>
    <t>TZMD</t>
  </si>
  <si>
    <t>气动密封闸门</t>
  </si>
  <si>
    <t>TZMM</t>
  </si>
  <si>
    <t>TZMQ</t>
  </si>
  <si>
    <t>TZMS</t>
  </si>
  <si>
    <t>离心剥壳机</t>
  </si>
  <si>
    <t>YBKL</t>
  </si>
  <si>
    <t>撞击剥壳机</t>
  </si>
  <si>
    <t>YBKZ</t>
  </si>
  <si>
    <t>干式捕粕器</t>
  </si>
  <si>
    <t>YBPG</t>
  </si>
  <si>
    <t>捕粕器P</t>
  </si>
  <si>
    <t>YBPP</t>
  </si>
  <si>
    <t>湿式捕粕器</t>
  </si>
  <si>
    <t>YBPS</t>
  </si>
  <si>
    <t>白土定量罐</t>
  </si>
  <si>
    <t>YBTD</t>
  </si>
  <si>
    <t>澄油箱</t>
  </si>
  <si>
    <t>YCYX</t>
  </si>
  <si>
    <t>脱溶机A筒</t>
  </si>
  <si>
    <t>YDTA</t>
  </si>
  <si>
    <t>脱溶机B筒</t>
  </si>
  <si>
    <t>YDTB</t>
  </si>
  <si>
    <t>蛋白蒸脱机</t>
  </si>
  <si>
    <t>YDTL</t>
  </si>
  <si>
    <t>预混绞龙</t>
  </si>
  <si>
    <t>YDYH</t>
  </si>
  <si>
    <t>酶反应柱</t>
  </si>
  <si>
    <t>YEFB</t>
  </si>
  <si>
    <t>最终加热器E</t>
  </si>
  <si>
    <t>YFHD</t>
  </si>
  <si>
    <t>最终加热器Q</t>
  </si>
  <si>
    <t>YFHU</t>
  </si>
  <si>
    <t>最终加热器Y</t>
  </si>
  <si>
    <t>YFHY</t>
  </si>
  <si>
    <t>液沫分离器</t>
  </si>
  <si>
    <t>YFLQ</t>
  </si>
  <si>
    <t>分离器Q</t>
  </si>
  <si>
    <t>YFLT</t>
  </si>
  <si>
    <t>旋液分离器</t>
  </si>
  <si>
    <t>YFLX</t>
  </si>
  <si>
    <t>油汽分离器</t>
  </si>
  <si>
    <t>YFLY</t>
  </si>
  <si>
    <t>汽水分离器</t>
  </si>
  <si>
    <t>YFQS</t>
  </si>
  <si>
    <t>分水箱L</t>
  </si>
  <si>
    <t>YFSL</t>
  </si>
  <si>
    <t>分水箱</t>
  </si>
  <si>
    <t>YFSW</t>
  </si>
  <si>
    <t>多级风选器</t>
  </si>
  <si>
    <t>YFXD</t>
  </si>
  <si>
    <t>立式风选器</t>
  </si>
  <si>
    <t>YFXL</t>
  </si>
  <si>
    <t>受压反应罐</t>
  </si>
  <si>
    <t>YFYM</t>
  </si>
  <si>
    <t>常压反应罐</t>
  </si>
  <si>
    <t>YFYN</t>
  </si>
  <si>
    <t>传热罐L</t>
  </si>
  <si>
    <t>YHEL</t>
  </si>
  <si>
    <t>传热罐W</t>
  </si>
  <si>
    <t>YHEW</t>
  </si>
  <si>
    <t>预涂罐</t>
  </si>
  <si>
    <t>YHHT</t>
  </si>
  <si>
    <t>预混罐</t>
  </si>
  <si>
    <t>YHJH</t>
  </si>
  <si>
    <t>水解塔MP</t>
  </si>
  <si>
    <t>YHJM</t>
  </si>
  <si>
    <t>板片换热器</t>
  </si>
  <si>
    <t>YHRB</t>
  </si>
  <si>
    <t>溶剂换热器</t>
  </si>
  <si>
    <t>YHRG</t>
  </si>
  <si>
    <t>波节管换热器</t>
  </si>
  <si>
    <t>YHRJ</t>
  </si>
  <si>
    <t>列管换热器L</t>
  </si>
  <si>
    <t>YHRL</t>
  </si>
  <si>
    <t>刮膜冷却器</t>
  </si>
  <si>
    <t>YHRM</t>
  </si>
  <si>
    <t>盘管换热器</t>
  </si>
  <si>
    <t>YHRP</t>
  </si>
  <si>
    <t>废水换热器</t>
  </si>
  <si>
    <t>YHRS</t>
  </si>
  <si>
    <t>套管换热器</t>
  </si>
  <si>
    <t>YHRT</t>
  </si>
  <si>
    <t>列管换热器W</t>
  </si>
  <si>
    <t>YHRW</t>
  </si>
  <si>
    <t>油油换热器</t>
  </si>
  <si>
    <t>YHRY</t>
  </si>
  <si>
    <t>污油罐</t>
  </si>
  <si>
    <t>YJBC</t>
  </si>
  <si>
    <t>受压搅拌罐</t>
  </si>
  <si>
    <t>YJBF</t>
  </si>
  <si>
    <t>常压搅拌罐</t>
  </si>
  <si>
    <t>YJBJ</t>
  </si>
  <si>
    <t>醇法浸出器</t>
  </si>
  <si>
    <t>YJCA</t>
  </si>
  <si>
    <t>浸膏浸出器</t>
  </si>
  <si>
    <t>YJCB</t>
  </si>
  <si>
    <t>C型浸出器</t>
  </si>
  <si>
    <t>YJCC</t>
  </si>
  <si>
    <t>E型浸出器</t>
  </si>
  <si>
    <t>YJCE</t>
  </si>
  <si>
    <t>脱木质素器</t>
  </si>
  <si>
    <t>YJCG</t>
  </si>
  <si>
    <t>油砂浸出器</t>
  </si>
  <si>
    <t>YJCS</t>
  </si>
  <si>
    <t>箱链浸出器</t>
  </si>
  <si>
    <t>YJCX</t>
  </si>
  <si>
    <t>E型浓缩蛋白浸出器</t>
  </si>
  <si>
    <t>YJDE</t>
  </si>
  <si>
    <t>板式结晶罐</t>
  </si>
  <si>
    <t>YJJB</t>
  </si>
  <si>
    <t>结晶罐</t>
  </si>
  <si>
    <t>YJJG</t>
  </si>
  <si>
    <t>养晶罐</t>
  </si>
  <si>
    <t>YJJN</t>
  </si>
  <si>
    <t>精馏塔B</t>
  </si>
  <si>
    <t>YJLB</t>
  </si>
  <si>
    <t>脂肪酸精馏塔</t>
  </si>
  <si>
    <t>YJLF</t>
  </si>
  <si>
    <t>甘油精馏塔</t>
  </si>
  <si>
    <t>YJLG</t>
  </si>
  <si>
    <t>精馏塔P</t>
  </si>
  <si>
    <t>YJLP</t>
  </si>
  <si>
    <t>加热器L</t>
  </si>
  <si>
    <t>YJRL</t>
  </si>
  <si>
    <t>蒸汽过热器</t>
  </si>
  <si>
    <t>YJRQ</t>
  </si>
  <si>
    <t>列管加热器W</t>
  </si>
  <si>
    <t>YJRW</t>
  </si>
  <si>
    <t>碱罐</t>
  </si>
  <si>
    <t>YJTG</t>
  </si>
  <si>
    <t>解析塔</t>
  </si>
  <si>
    <t>YJXT</t>
  </si>
  <si>
    <t>空化反应器KB</t>
  </si>
  <si>
    <t>YKHQ</t>
  </si>
  <si>
    <t>油罐</t>
  </si>
  <si>
    <t>YLGP</t>
  </si>
  <si>
    <t>常压暂存罐</t>
  </si>
  <si>
    <t>YLGZ</t>
  </si>
  <si>
    <t>油冷却器</t>
  </si>
  <si>
    <t>YLQY</t>
  </si>
  <si>
    <t>地下溶剂罐</t>
  </si>
  <si>
    <t>YMDG</t>
  </si>
  <si>
    <t>埋地罐</t>
  </si>
  <si>
    <t>YMDQ</t>
  </si>
  <si>
    <t>混合油暂存罐</t>
  </si>
  <si>
    <t>YMGZ</t>
  </si>
  <si>
    <t>灭活熟化机</t>
  </si>
  <si>
    <t>YMSL</t>
  </si>
  <si>
    <t>混合冷凝器AR</t>
  </si>
  <si>
    <t>YNBD</t>
  </si>
  <si>
    <t>废气吸收塔</t>
  </si>
  <si>
    <t>YNBP</t>
  </si>
  <si>
    <t>脂肪酸捕集器</t>
  </si>
  <si>
    <t>YNBT</t>
  </si>
  <si>
    <t>冻结冷凝器L</t>
  </si>
  <si>
    <t>YNDL</t>
  </si>
  <si>
    <t>冻结冷凝器W</t>
  </si>
  <si>
    <t>YNDW</t>
  </si>
  <si>
    <t>DT冷凝器</t>
  </si>
  <si>
    <t>YNGL</t>
  </si>
  <si>
    <t>汽提冷凝器</t>
  </si>
  <si>
    <t>YNGW</t>
  </si>
  <si>
    <t>蒸发冷凝器</t>
  </si>
  <si>
    <t>YNUW</t>
  </si>
  <si>
    <t>尾气冷凝器</t>
  </si>
  <si>
    <t>YNXL</t>
  </si>
  <si>
    <t>浸出器冷凝器</t>
  </si>
  <si>
    <t>YNYW</t>
  </si>
  <si>
    <t>列管冷凝器L</t>
  </si>
  <si>
    <t>YNZL</t>
  </si>
  <si>
    <t>列管冷凝器W</t>
  </si>
  <si>
    <t>YNZW</t>
  </si>
  <si>
    <t>氢化反应器AG</t>
  </si>
  <si>
    <t>YQHJ</t>
  </si>
  <si>
    <t>氢化塔T</t>
  </si>
  <si>
    <t>YQHT</t>
  </si>
  <si>
    <t>碟盘汽提塔</t>
  </si>
  <si>
    <t>YQTD</t>
  </si>
  <si>
    <t>筛盘汽提塔</t>
  </si>
  <si>
    <t>YQTS</t>
  </si>
  <si>
    <t>填料汽提塔</t>
  </si>
  <si>
    <t>YQTT</t>
  </si>
  <si>
    <t>滤网清洗池</t>
  </si>
  <si>
    <t>YQXF</t>
  </si>
  <si>
    <t>碟片清洗池</t>
  </si>
  <si>
    <t>YQXT</t>
  </si>
  <si>
    <t>汽液接触器</t>
  </si>
  <si>
    <t>YQYH</t>
  </si>
  <si>
    <t>卧式滚筒软化锅</t>
  </si>
  <si>
    <t>YRWG</t>
  </si>
  <si>
    <t>析气器</t>
  </si>
  <si>
    <t>YSFG</t>
  </si>
  <si>
    <t>干燥器</t>
  </si>
  <si>
    <t>YSFQ</t>
  </si>
  <si>
    <t>闪蒸罐</t>
  </si>
  <si>
    <t>YSFT</t>
  </si>
  <si>
    <t>立式熟化机</t>
  </si>
  <si>
    <t>YSHL</t>
  </si>
  <si>
    <t>暂存箱AG</t>
  </si>
  <si>
    <t>YSJC</t>
  </si>
  <si>
    <t>酸罐</t>
  </si>
  <si>
    <t>YSJG</t>
  </si>
  <si>
    <t>油水分离池</t>
  </si>
  <si>
    <t>YSYD</t>
  </si>
  <si>
    <t>脱色塔AG</t>
  </si>
  <si>
    <t>YTCM</t>
  </si>
  <si>
    <t>脱色塔</t>
  </si>
  <si>
    <t>YTCS</t>
  </si>
  <si>
    <t>投料斗</t>
  </si>
  <si>
    <t>YTLD</t>
  </si>
  <si>
    <t>急加热器</t>
  </si>
  <si>
    <t>YTPL</t>
  </si>
  <si>
    <t>磨盘脱皮机</t>
  </si>
  <si>
    <t>YTPM</t>
  </si>
  <si>
    <t>脱溶锅</t>
  </si>
  <si>
    <t>YTRG</t>
  </si>
  <si>
    <t>脱酸塔</t>
  </si>
  <si>
    <t>YTST</t>
  </si>
  <si>
    <t>板式脱臭塔</t>
  </si>
  <si>
    <t>YTXB</t>
  </si>
  <si>
    <t>组合脱臭塔</t>
  </si>
  <si>
    <t>YTXH</t>
  </si>
  <si>
    <t>MIXI脱臭塔</t>
  </si>
  <si>
    <t>YTXM</t>
  </si>
  <si>
    <t>半连续脱臭塔</t>
  </si>
  <si>
    <t>YTXS</t>
  </si>
  <si>
    <t>填料脱臭塔</t>
  </si>
  <si>
    <t>YTXT</t>
  </si>
  <si>
    <t>卧式脱臭塔</t>
  </si>
  <si>
    <t>YTXW</t>
  </si>
  <si>
    <t>板式调质塔</t>
  </si>
  <si>
    <t>YTZB</t>
  </si>
  <si>
    <t>调质塔</t>
  </si>
  <si>
    <t>YTZT</t>
  </si>
  <si>
    <t>节能器</t>
  </si>
  <si>
    <t>YVEL</t>
  </si>
  <si>
    <t>节能器W</t>
  </si>
  <si>
    <t>YVEW</t>
  </si>
  <si>
    <t>卧式圆盘干燥机</t>
  </si>
  <si>
    <t>YWGD</t>
  </si>
  <si>
    <t>管束真空脱溶机</t>
  </si>
  <si>
    <t>YWGG</t>
  </si>
  <si>
    <t>废热吸收塔</t>
  </si>
  <si>
    <t>YXPR</t>
  </si>
  <si>
    <t>吸收塔</t>
  </si>
  <si>
    <t>YXTQ</t>
  </si>
  <si>
    <t>分气缸</t>
  </si>
  <si>
    <t>YYLG</t>
  </si>
  <si>
    <t>YYRT</t>
  </si>
  <si>
    <t>受压水罐</t>
  </si>
  <si>
    <t>YYRY</t>
  </si>
  <si>
    <t>薄膜蒸发器</t>
  </si>
  <si>
    <t>YZBF</t>
  </si>
  <si>
    <t>磷脂干燥器</t>
  </si>
  <si>
    <t>YZBG</t>
  </si>
  <si>
    <t>白土罐</t>
  </si>
  <si>
    <t>YZCB</t>
  </si>
  <si>
    <t>暂存箱</t>
  </si>
  <si>
    <t>YZCF</t>
  </si>
  <si>
    <t>回转炒锅</t>
  </si>
  <si>
    <t>YZCG</t>
  </si>
  <si>
    <t>YZCL</t>
  </si>
  <si>
    <t>常压水罐</t>
  </si>
  <si>
    <t>YZCY</t>
  </si>
  <si>
    <t>再沸器L</t>
  </si>
  <si>
    <t>YZFL</t>
  </si>
  <si>
    <t>再沸器W</t>
  </si>
  <si>
    <t>YZFW</t>
  </si>
  <si>
    <t>卧式棕果杀酵罐</t>
  </si>
  <si>
    <t>YZGW</t>
  </si>
  <si>
    <t>精油蒸馏机</t>
  </si>
  <si>
    <t>YZLG</t>
  </si>
  <si>
    <t>脂肪酸蒸馏塔</t>
  </si>
  <si>
    <t>YZLP</t>
  </si>
  <si>
    <t>第一蒸发器</t>
  </si>
  <si>
    <t>YZSA</t>
  </si>
  <si>
    <t>第二蒸发器</t>
  </si>
  <si>
    <t>YZSB</t>
  </si>
  <si>
    <t>立式棕果杀酵罐</t>
  </si>
  <si>
    <t>YZSL</t>
  </si>
  <si>
    <t>压力式卧式棕果杀酵罐</t>
  </si>
  <si>
    <t>YZSW</t>
  </si>
  <si>
    <t>受压暂存罐</t>
  </si>
  <si>
    <t>YZSY</t>
  </si>
  <si>
    <t>蒸煮罐L</t>
  </si>
  <si>
    <t>YZZL</t>
  </si>
  <si>
    <t>蒸煮罐W</t>
  </si>
  <si>
    <t>YZZW</t>
  </si>
  <si>
    <t>传感接头</t>
  </si>
  <si>
    <t>MTBA</t>
  </si>
  <si>
    <t>爬梯</t>
  </si>
  <si>
    <t>MTBH</t>
  </si>
  <si>
    <t>铭牌架</t>
  </si>
  <si>
    <t>MTBG</t>
  </si>
  <si>
    <t>液位调节套</t>
  </si>
  <si>
    <t>MRTA</t>
  </si>
  <si>
    <t>浮球阀座</t>
  </si>
  <si>
    <t>MRTB</t>
  </si>
  <si>
    <t>浮标液位计</t>
  </si>
  <si>
    <t>MRTC</t>
  </si>
  <si>
    <t>凸缘搅拌轴底座</t>
  </si>
  <si>
    <t>MRTD</t>
  </si>
  <si>
    <t>搅拌联轴器</t>
  </si>
  <si>
    <t>MRTI</t>
  </si>
  <si>
    <t>传动链轮</t>
  </si>
  <si>
    <t>MTCL</t>
  </si>
  <si>
    <t>输送链轮</t>
  </si>
  <si>
    <t>MTSL</t>
  </si>
  <si>
    <t>取样口</t>
  </si>
  <si>
    <t>MTTA</t>
  </si>
  <si>
    <t>平板视镜</t>
  </si>
  <si>
    <t>MRJA</t>
  </si>
  <si>
    <t>刮刀视镜</t>
  </si>
  <si>
    <t>MRJB</t>
  </si>
  <si>
    <t>方视镜</t>
  </si>
  <si>
    <t>MRJC</t>
  </si>
  <si>
    <t>常压人孔</t>
  </si>
  <si>
    <t>MRRA</t>
  </si>
  <si>
    <t>回转盖板式平焊法兰人孔</t>
  </si>
  <si>
    <t>MRRB</t>
  </si>
  <si>
    <t>回转拱盖快开人孔</t>
  </si>
  <si>
    <t>MRRD</t>
  </si>
  <si>
    <t>快开人孔</t>
  </si>
  <si>
    <t>MRRE</t>
  </si>
  <si>
    <t>清理人孔</t>
  </si>
  <si>
    <t>MRRF</t>
  </si>
  <si>
    <t>油斗人孔</t>
  </si>
  <si>
    <t>MRRG</t>
  </si>
  <si>
    <t>油斗手孔</t>
  </si>
  <si>
    <t>MRSB</t>
  </si>
  <si>
    <t>常压手孔</t>
  </si>
  <si>
    <t>MRSC</t>
  </si>
  <si>
    <t>铭牌</t>
  </si>
  <si>
    <t>MTBM</t>
  </si>
  <si>
    <t>管道视镜</t>
  </si>
  <si>
    <t>MRJE</t>
  </si>
  <si>
    <t>方形检修门</t>
  </si>
  <si>
    <t>MRXC</t>
  </si>
  <si>
    <t>方形密封检修门</t>
  </si>
  <si>
    <t>MRXD</t>
  </si>
  <si>
    <t>圆形检修门</t>
  </si>
  <si>
    <t>MRXA</t>
  </si>
  <si>
    <t>圆形密封检修门</t>
  </si>
  <si>
    <t>MRXB</t>
  </si>
  <si>
    <t>单面视镜</t>
  </si>
  <si>
    <t>MRJF</t>
  </si>
  <si>
    <t>风网管道</t>
  </si>
  <si>
    <t>MTGD</t>
  </si>
  <si>
    <t>风网法兰</t>
  </si>
  <si>
    <t>MTFL</t>
  </si>
  <si>
    <t>风网同心圆变圆</t>
  </si>
  <si>
    <t>MTBY</t>
  </si>
  <si>
    <t>风网方变圆</t>
  </si>
  <si>
    <t>MTFY</t>
  </si>
  <si>
    <t>风网圆弯头</t>
  </si>
  <si>
    <t>MTYW</t>
  </si>
  <si>
    <t>风网旋转弯头</t>
  </si>
  <si>
    <t>MTXZ</t>
  </si>
  <si>
    <t>风网斜三通</t>
  </si>
  <si>
    <t>MTXT</t>
  </si>
  <si>
    <t>风网三通</t>
  </si>
  <si>
    <t>MTST</t>
  </si>
  <si>
    <t>风网耐磨方弯头</t>
  </si>
  <si>
    <t>MTFW</t>
  </si>
  <si>
    <t>溜管直段</t>
  </si>
  <si>
    <t>MTZD</t>
  </si>
  <si>
    <t>溜管弯头</t>
  </si>
  <si>
    <t>MTLW</t>
  </si>
  <si>
    <t>缓冲溜管</t>
  </si>
  <si>
    <t>MTLG</t>
  </si>
  <si>
    <t>三通溜管</t>
  </si>
  <si>
    <t>MTSG</t>
  </si>
  <si>
    <t>对称三通溜管</t>
  </si>
  <si>
    <t>MTDS</t>
  </si>
  <si>
    <t>四通溜管</t>
  </si>
  <si>
    <t>MTTG</t>
  </si>
  <si>
    <t>预制弯头</t>
  </si>
  <si>
    <t>MTWT</t>
  </si>
  <si>
    <t>变径三通</t>
  </si>
  <si>
    <t>MTTT</t>
  </si>
  <si>
    <t>变径四通</t>
  </si>
  <si>
    <t>MTFT</t>
  </si>
  <si>
    <t>预制变径</t>
  </si>
  <si>
    <t>MTBJ</t>
  </si>
  <si>
    <t>预制风帽</t>
  </si>
  <si>
    <t>MTFM</t>
  </si>
  <si>
    <t>预制卷管</t>
  </si>
  <si>
    <t>MTGG</t>
  </si>
  <si>
    <t>其它通用件</t>
  </si>
  <si>
    <t>防护劳保</t>
  </si>
  <si>
    <t>X001</t>
  </si>
  <si>
    <t>福利劳保</t>
  </si>
  <si>
    <t>X002</t>
  </si>
  <si>
    <t>防锈油</t>
  </si>
  <si>
    <t>X003</t>
  </si>
  <si>
    <t>食用油</t>
  </si>
  <si>
    <t>X004</t>
  </si>
  <si>
    <t>设备用油</t>
  </si>
  <si>
    <t>X005</t>
  </si>
  <si>
    <t>机加工用刀具</t>
  </si>
  <si>
    <t>X006</t>
  </si>
  <si>
    <t>锯齿类</t>
  </si>
  <si>
    <t>X007</t>
  </si>
  <si>
    <t>绳类</t>
  </si>
  <si>
    <t>X008</t>
  </si>
  <si>
    <t>夹具类</t>
  </si>
  <si>
    <t>X009</t>
  </si>
  <si>
    <t>量具</t>
  </si>
  <si>
    <t>X010</t>
  </si>
  <si>
    <t>非量具工具</t>
  </si>
  <si>
    <t>X011</t>
  </si>
  <si>
    <t>紧固材料</t>
  </si>
  <si>
    <t>X012</t>
  </si>
  <si>
    <t>包裹材料</t>
  </si>
  <si>
    <t>X013</t>
  </si>
  <si>
    <t>木质材料</t>
  </si>
  <si>
    <t>X014</t>
  </si>
  <si>
    <t>焊接类消耗品</t>
  </si>
  <si>
    <t>X015</t>
  </si>
  <si>
    <t>磨、切、割类消耗品</t>
  </si>
  <si>
    <t>X016</t>
  </si>
  <si>
    <t>喷砂、清洗类消耗品</t>
  </si>
  <si>
    <t>X017</t>
  </si>
  <si>
    <t>其它低值易耗品</t>
  </si>
  <si>
    <t>X018</t>
  </si>
  <si>
    <t>面漆</t>
  </si>
  <si>
    <t>X019</t>
  </si>
  <si>
    <t>中间漆</t>
  </si>
  <si>
    <t>X020</t>
  </si>
  <si>
    <t>底漆</t>
  </si>
  <si>
    <t>X021</t>
  </si>
  <si>
    <t>稀释剂</t>
  </si>
  <si>
    <t>X022</t>
  </si>
  <si>
    <t>固化剂</t>
  </si>
  <si>
    <t>X023</t>
  </si>
  <si>
    <t>自喷漆</t>
  </si>
  <si>
    <t>X024</t>
  </si>
  <si>
    <t>固定资产</t>
  </si>
  <si>
    <t>房屋及建筑物</t>
  </si>
  <si>
    <t>Z001</t>
  </si>
  <si>
    <t>办公设备</t>
  </si>
  <si>
    <t>Z002</t>
  </si>
  <si>
    <t>电子设备</t>
  </si>
  <si>
    <t>Z003</t>
  </si>
  <si>
    <t>机器设备</t>
  </si>
  <si>
    <t>Z004</t>
  </si>
  <si>
    <t>运输工具</t>
  </si>
  <si>
    <t>Z005</t>
  </si>
  <si>
    <t>其它固定资产</t>
  </si>
  <si>
    <t>Z006</t>
  </si>
  <si>
    <t>序号</t>
  </si>
  <si>
    <t>编码规则</t>
  </si>
  <si>
    <t>第一字段</t>
  </si>
  <si>
    <t>第二字段</t>
  </si>
  <si>
    <t>第三字段</t>
  </si>
  <si>
    <t>零件代号</t>
  </si>
  <si>
    <t>XXXX</t>
  </si>
  <si>
    <t>XXXXX</t>
  </si>
  <si>
    <t>第1位</t>
  </si>
  <si>
    <t>编码规则1</t>
  </si>
  <si>
    <t>物料分类代号</t>
  </si>
  <si>
    <t>流水码</t>
  </si>
  <si>
    <t>材质代码</t>
  </si>
  <si>
    <t>名称</t>
  </si>
  <si>
    <t>代码</t>
  </si>
  <si>
    <t>编码规则2</t>
  </si>
  <si>
    <t>品牌代码</t>
  </si>
  <si>
    <t>1:标准零件</t>
  </si>
  <si>
    <t>标准零件</t>
  </si>
  <si>
    <t>编码规则3</t>
  </si>
  <si>
    <t>产品物料词典</t>
  </si>
  <si>
    <t>零、部件代码+流水码</t>
  </si>
  <si>
    <t>配置流水+0</t>
  </si>
  <si>
    <t>6:非标零件</t>
  </si>
  <si>
    <t>非标零件</t>
  </si>
  <si>
    <t>编码规则4</t>
  </si>
  <si>
    <t>0000</t>
  </si>
  <si>
    <t>5:辅助工装零件</t>
  </si>
  <si>
    <t>辅助工装零件</t>
  </si>
  <si>
    <t>适用编码规则</t>
  </si>
  <si>
    <t>编码规则1、编码规则2</t>
  </si>
  <si>
    <t>标准部件代号</t>
  </si>
  <si>
    <t>标准部件</t>
  </si>
  <si>
    <t>9:标准部件</t>
  </si>
  <si>
    <t>辅助工装部件</t>
  </si>
  <si>
    <t>F:辅助工装部件</t>
  </si>
  <si>
    <t>非标部件</t>
  </si>
  <si>
    <t>7:非标部件</t>
  </si>
  <si>
    <t>代表控制系统</t>
  </si>
  <si>
    <t>Z:代表控制系统</t>
  </si>
  <si>
    <t>键联接</t>
  </si>
  <si>
    <t>销联接</t>
  </si>
  <si>
    <t>花键联接</t>
  </si>
  <si>
    <t>钛材管件</t>
  </si>
  <si>
    <t>小类名称</t>
  </si>
  <si>
    <t>物料名称</t>
  </si>
  <si>
    <t>预制件</t>
  </si>
  <si>
    <t>UA</t>
  </si>
  <si>
    <t>RB</t>
  </si>
  <si>
    <t>RC</t>
  </si>
  <si>
    <t>RD</t>
  </si>
  <si>
    <t>RE</t>
  </si>
  <si>
    <t>NA</t>
  </si>
  <si>
    <t>轴承、轴承座</t>
  </si>
  <si>
    <t>传动件</t>
  </si>
  <si>
    <t>NC</t>
  </si>
  <si>
    <t>减速机、减速箱</t>
  </si>
  <si>
    <t>ND</t>
  </si>
  <si>
    <t>NE</t>
  </si>
  <si>
    <t>联轴器</t>
  </si>
  <si>
    <t>NF</t>
  </si>
  <si>
    <t>ASME 法兰管件</t>
  </si>
  <si>
    <t>NG</t>
  </si>
  <si>
    <t>国标管件</t>
  </si>
  <si>
    <t>NH</t>
  </si>
  <si>
    <t>五金件</t>
  </si>
  <si>
    <t>NO</t>
  </si>
  <si>
    <t>封头</t>
  </si>
  <si>
    <t>NP</t>
  </si>
  <si>
    <t>NQ</t>
  </si>
  <si>
    <t>筛网</t>
  </si>
  <si>
    <t>NR</t>
  </si>
  <si>
    <t>NS</t>
  </si>
  <si>
    <t>润滑密封</t>
  </si>
  <si>
    <t>NT</t>
  </si>
  <si>
    <t>液压气动</t>
  </si>
  <si>
    <t>NU</t>
  </si>
  <si>
    <t>OA</t>
  </si>
  <si>
    <t>风网预制件</t>
  </si>
  <si>
    <t>OB</t>
  </si>
  <si>
    <t>物料预制件</t>
  </si>
  <si>
    <t>UAB</t>
  </si>
  <si>
    <t>UAC</t>
  </si>
  <si>
    <t>UAD</t>
  </si>
  <si>
    <t>UAE</t>
  </si>
  <si>
    <t>UAF</t>
  </si>
  <si>
    <t>UAG</t>
  </si>
  <si>
    <t>RBA</t>
  </si>
  <si>
    <t>氨制冷机组</t>
  </si>
  <si>
    <t>散热器</t>
  </si>
  <si>
    <t>轧胚机磨辊机</t>
  </si>
  <si>
    <t>离心混合器</t>
  </si>
  <si>
    <t>板框压滤机</t>
  </si>
  <si>
    <t>RBC</t>
  </si>
  <si>
    <t>RCA</t>
  </si>
  <si>
    <t>码垛机</t>
  </si>
  <si>
    <t>喷射器</t>
  </si>
  <si>
    <t>菌液缓冲罐</t>
  </si>
  <si>
    <t>离子交换树脂塔</t>
  </si>
  <si>
    <t>玻璃钢罐</t>
  </si>
  <si>
    <t>干燥机</t>
  </si>
  <si>
    <t>槽车清洗喷头</t>
  </si>
  <si>
    <t>磨粉机</t>
  </si>
  <si>
    <t>RDA</t>
  </si>
  <si>
    <t>REA</t>
  </si>
  <si>
    <t>空气换热器</t>
  </si>
  <si>
    <t>磁力齿轮泵</t>
  </si>
  <si>
    <t>单级双吸离心泵</t>
  </si>
  <si>
    <t>罗茨泵</t>
  </si>
  <si>
    <t>自吸泵</t>
  </si>
  <si>
    <t>抽气包装秤</t>
  </si>
  <si>
    <t>吨秤</t>
  </si>
  <si>
    <t>配料秤斗门</t>
  </si>
  <si>
    <t>REB</t>
  </si>
  <si>
    <t>散料秤</t>
  </si>
  <si>
    <t>绞龙</t>
  </si>
  <si>
    <t>溶剂气体风机</t>
  </si>
  <si>
    <t>高压锅炉压力限定器</t>
  </si>
  <si>
    <t>高压蒸汽锅炉</t>
  </si>
  <si>
    <t>袋式过滤器</t>
  </si>
  <si>
    <t>混合油过滤器</t>
  </si>
  <si>
    <t>板式密闭过滤机</t>
  </si>
  <si>
    <t>REC</t>
  </si>
  <si>
    <t>滚筒初清筛</t>
  </si>
  <si>
    <t>高方筛</t>
  </si>
  <si>
    <t>比重去石机</t>
  </si>
  <si>
    <t>摇摆筛</t>
  </si>
  <si>
    <t>冷冻式干燥机</t>
  </si>
  <si>
    <t>吸附式干燥机</t>
  </si>
  <si>
    <t>英格索兰空压机</t>
  </si>
  <si>
    <t>英格索兰冷冻式干燥机</t>
  </si>
  <si>
    <t>RED</t>
  </si>
  <si>
    <t>气动密封闸板</t>
  </si>
  <si>
    <t>水喷射式抽风机</t>
  </si>
  <si>
    <t>糖蜜混合机</t>
  </si>
  <si>
    <t>吨袋拆包机</t>
  </si>
  <si>
    <t>扫仓机</t>
  </si>
  <si>
    <t>灌装机</t>
  </si>
  <si>
    <t>预热器</t>
  </si>
  <si>
    <t>日仓</t>
  </si>
  <si>
    <t>捏合机</t>
  </si>
  <si>
    <t>调质器</t>
  </si>
  <si>
    <t>热风炉</t>
  </si>
  <si>
    <t>NAB</t>
  </si>
  <si>
    <t>NAC</t>
  </si>
  <si>
    <t>轴承座</t>
  </si>
  <si>
    <t>NAD</t>
  </si>
  <si>
    <t>NAE</t>
  </si>
  <si>
    <t>NBA</t>
  </si>
  <si>
    <t>传送带</t>
  </si>
  <si>
    <t>NBB</t>
  </si>
  <si>
    <t>链条</t>
  </si>
  <si>
    <t>NBC</t>
  </si>
  <si>
    <t>传动轮</t>
  </si>
  <si>
    <t>NCA</t>
  </si>
  <si>
    <t>NCB</t>
  </si>
  <si>
    <t>NCD</t>
  </si>
  <si>
    <t>NCE</t>
  </si>
  <si>
    <t>NCF</t>
  </si>
  <si>
    <t>NCG</t>
  </si>
  <si>
    <t>NCH</t>
  </si>
  <si>
    <t>NCI</t>
  </si>
  <si>
    <t>NCJ</t>
  </si>
  <si>
    <t>NCK</t>
  </si>
  <si>
    <t>NCL</t>
  </si>
  <si>
    <t>NCM</t>
  </si>
  <si>
    <t>NCN</t>
  </si>
  <si>
    <t>NDA</t>
  </si>
  <si>
    <t>NDB</t>
  </si>
  <si>
    <t>NDC</t>
  </si>
  <si>
    <t>NDD</t>
  </si>
  <si>
    <t>NEA</t>
  </si>
  <si>
    <t>NFA</t>
  </si>
  <si>
    <t>滑套角焊法兰</t>
  </si>
  <si>
    <t>NFB</t>
  </si>
  <si>
    <t>钢制管法兰盖</t>
  </si>
  <si>
    <t>NFC</t>
  </si>
  <si>
    <t>平垫片</t>
  </si>
  <si>
    <t>NFD</t>
  </si>
  <si>
    <t>NFG</t>
  </si>
  <si>
    <t>等径三通</t>
  </si>
  <si>
    <t>NFH</t>
  </si>
  <si>
    <t>等径四通</t>
  </si>
  <si>
    <t>NFK</t>
  </si>
  <si>
    <t>同心异径接头</t>
  </si>
  <si>
    <t>NGA</t>
  </si>
  <si>
    <t>钢制管法兰用非金属平垫片</t>
  </si>
  <si>
    <t>NGB</t>
  </si>
  <si>
    <t>钢制管法兰用缠绕式垫片</t>
  </si>
  <si>
    <t>NGC</t>
  </si>
  <si>
    <t>带颈平焊法兰</t>
  </si>
  <si>
    <t>NGD</t>
  </si>
  <si>
    <t>板式平焊法兰</t>
  </si>
  <si>
    <t>NGE</t>
  </si>
  <si>
    <t>法兰盖</t>
  </si>
  <si>
    <t>NGF</t>
  </si>
  <si>
    <t>三通</t>
  </si>
  <si>
    <t>NGH</t>
  </si>
  <si>
    <t>四通</t>
  </si>
  <si>
    <t>NGI</t>
  </si>
  <si>
    <t>NGJ</t>
  </si>
  <si>
    <t>异径接头</t>
  </si>
  <si>
    <t>NHA</t>
  </si>
  <si>
    <t>NHB</t>
  </si>
  <si>
    <t>NHC</t>
  </si>
  <si>
    <t>NHD</t>
  </si>
  <si>
    <t>NHE</t>
  </si>
  <si>
    <t>NHF</t>
  </si>
  <si>
    <t>NHG</t>
  </si>
  <si>
    <t>NHI</t>
  </si>
  <si>
    <t>NHJ</t>
  </si>
  <si>
    <t>NHK</t>
  </si>
  <si>
    <t>NOA</t>
  </si>
  <si>
    <t>EHA椭圆形封头</t>
  </si>
  <si>
    <t>EHB椭圆形封头</t>
  </si>
  <si>
    <t>DHA碟形封头</t>
  </si>
  <si>
    <t>DHB碟形封头</t>
  </si>
  <si>
    <t>CHA折边锥形封头</t>
  </si>
  <si>
    <t>CHB折边锥形封头</t>
  </si>
  <si>
    <t>CHC折边锥形封头</t>
  </si>
  <si>
    <t>PSH球冠形封头</t>
  </si>
  <si>
    <t>特制封头</t>
  </si>
  <si>
    <t>NPA</t>
  </si>
  <si>
    <t>NPB</t>
  </si>
  <si>
    <t>NPC</t>
  </si>
  <si>
    <t>NPD</t>
  </si>
  <si>
    <t>NPE</t>
  </si>
  <si>
    <t>NPF</t>
  </si>
  <si>
    <t>NPG</t>
  </si>
  <si>
    <t>NPH</t>
  </si>
  <si>
    <t>NPI</t>
  </si>
  <si>
    <t>NPJ</t>
  </si>
  <si>
    <t>NPK</t>
  </si>
  <si>
    <t>NPL</t>
  </si>
  <si>
    <t>NPM</t>
  </si>
  <si>
    <t>NPN</t>
  </si>
  <si>
    <t>NPO</t>
  </si>
  <si>
    <t>NPQ</t>
  </si>
  <si>
    <t>NPR</t>
  </si>
  <si>
    <t>NPS</t>
  </si>
  <si>
    <t>NPT</t>
  </si>
  <si>
    <t>NPU</t>
  </si>
  <si>
    <t>NQA</t>
  </si>
  <si>
    <t>NQB</t>
  </si>
  <si>
    <t>NQC</t>
  </si>
  <si>
    <t>其他筛网</t>
  </si>
  <si>
    <t>NRA</t>
  </si>
  <si>
    <t>NRB</t>
  </si>
  <si>
    <t>其他填料</t>
  </si>
  <si>
    <t>NSA</t>
  </si>
  <si>
    <t>O型圈</t>
  </si>
  <si>
    <t>NTA</t>
  </si>
  <si>
    <t>NTB</t>
  </si>
  <si>
    <t>NTC</t>
  </si>
  <si>
    <t>NTD</t>
  </si>
  <si>
    <t>NTE</t>
  </si>
  <si>
    <t>液压气动配件</t>
  </si>
  <si>
    <t>NUA</t>
  </si>
  <si>
    <t>NUB</t>
  </si>
  <si>
    <t>NUC</t>
  </si>
  <si>
    <t>NUD</t>
  </si>
  <si>
    <t>NUE</t>
  </si>
  <si>
    <t>NUF</t>
  </si>
  <si>
    <t>NUG</t>
  </si>
  <si>
    <t>NUH</t>
  </si>
  <si>
    <t>其他软连接</t>
  </si>
  <si>
    <t>OAB</t>
  </si>
  <si>
    <t>预制管道</t>
  </si>
  <si>
    <t>OAC</t>
  </si>
  <si>
    <t>OAD</t>
  </si>
  <si>
    <t>OAE</t>
  </si>
  <si>
    <t>OAF</t>
  </si>
  <si>
    <t>OAG</t>
  </si>
  <si>
    <t>旋转弯头</t>
  </si>
  <si>
    <t>OAI</t>
  </si>
  <si>
    <t>OAJ</t>
  </si>
  <si>
    <t>物料三通</t>
  </si>
  <si>
    <t>OAK</t>
  </si>
  <si>
    <t>OAL</t>
  </si>
  <si>
    <t>Y型三通</t>
  </si>
  <si>
    <t>OBA</t>
  </si>
  <si>
    <t>OBC</t>
  </si>
  <si>
    <t>OBD</t>
  </si>
  <si>
    <t>OBE</t>
  </si>
  <si>
    <t>OBF</t>
  </si>
  <si>
    <t>对称三通</t>
  </si>
  <si>
    <t>OBG</t>
  </si>
  <si>
    <t>UAH</t>
  </si>
  <si>
    <t>圆板</t>
  </si>
  <si>
    <t>代号</t>
  </si>
  <si>
    <t>BC</t>
  </si>
  <si>
    <t>CB</t>
  </si>
  <si>
    <t>DB</t>
  </si>
  <si>
    <t>EB</t>
  </si>
  <si>
    <t>FB</t>
  </si>
  <si>
    <t>AD</t>
  </si>
  <si>
    <t>AE</t>
  </si>
  <si>
    <t>IB</t>
  </si>
  <si>
    <t>AF</t>
  </si>
  <si>
    <t>JB</t>
  </si>
  <si>
    <t>AH</t>
  </si>
  <si>
    <t>T</t>
  </si>
  <si>
    <t>KB</t>
  </si>
  <si>
    <t>AI</t>
  </si>
  <si>
    <t>LB</t>
  </si>
  <si>
    <t>AJ</t>
  </si>
  <si>
    <t/>
  </si>
  <si>
    <t>AK</t>
  </si>
  <si>
    <t>AL</t>
  </si>
  <si>
    <t>AM</t>
  </si>
  <si>
    <t>AN</t>
  </si>
  <si>
    <t>CA</t>
  </si>
  <si>
    <t>AO</t>
  </si>
  <si>
    <t>DA</t>
  </si>
  <si>
    <t>AP</t>
  </si>
  <si>
    <t>EA</t>
  </si>
  <si>
    <t>AQ</t>
  </si>
  <si>
    <t>FA</t>
  </si>
  <si>
    <t>AR</t>
  </si>
  <si>
    <t>GA</t>
  </si>
  <si>
    <t>AS</t>
  </si>
  <si>
    <t>AT</t>
  </si>
  <si>
    <t>AU</t>
  </si>
  <si>
    <t>AV</t>
  </si>
  <si>
    <t>AW</t>
  </si>
  <si>
    <t>AX</t>
  </si>
  <si>
    <t>AY</t>
  </si>
  <si>
    <t>AZ</t>
  </si>
  <si>
    <t>CD</t>
  </si>
  <si>
    <t>CE</t>
  </si>
  <si>
    <t>CF</t>
  </si>
  <si>
    <t>向心关节轴承</t>
  </si>
  <si>
    <t>双列角接触球轴承</t>
  </si>
  <si>
    <t>AB</t>
  </si>
  <si>
    <t>板材</t>
  </si>
  <si>
    <t>带材</t>
  </si>
  <si>
    <t>管材</t>
  </si>
  <si>
    <t>SNL2系列轴承座</t>
  </si>
  <si>
    <t>棒材</t>
  </si>
  <si>
    <t>SNL3系列轴承座</t>
  </si>
  <si>
    <t>AG</t>
  </si>
  <si>
    <t>SNL5系列轴承座</t>
  </si>
  <si>
    <t>SNL6系列轴承座</t>
  </si>
  <si>
    <t>SN500系列</t>
  </si>
  <si>
    <t>SN600系列</t>
  </si>
  <si>
    <t>SN200系列</t>
  </si>
  <si>
    <t>SN300系列</t>
  </si>
  <si>
    <t>SN3100系列</t>
  </si>
  <si>
    <t>SSN500系列</t>
  </si>
  <si>
    <t>SD600系列</t>
  </si>
  <si>
    <t>SD3100系列</t>
  </si>
  <si>
    <t>722500系列</t>
  </si>
  <si>
    <t>S3000K系列</t>
  </si>
  <si>
    <t>SNU500系列</t>
  </si>
  <si>
    <t>油漆</t>
  </si>
  <si>
    <t>SNL3系列</t>
  </si>
  <si>
    <t>SNL5系列</t>
  </si>
  <si>
    <t>U0带座轴承</t>
  </si>
  <si>
    <t>国产 轴承座</t>
  </si>
  <si>
    <t>BA</t>
  </si>
  <si>
    <t>链轮</t>
  </si>
  <si>
    <t>带轮</t>
  </si>
  <si>
    <t>锥套</t>
  </si>
  <si>
    <t>HA</t>
  </si>
  <si>
    <t>IA</t>
  </si>
  <si>
    <t>JA</t>
  </si>
  <si>
    <t>KA</t>
  </si>
  <si>
    <t>LA</t>
  </si>
  <si>
    <t>MA</t>
  </si>
  <si>
    <t>BD</t>
  </si>
  <si>
    <t>BE</t>
  </si>
  <si>
    <t>BF</t>
  </si>
  <si>
    <t>BG</t>
  </si>
  <si>
    <t>BH</t>
  </si>
  <si>
    <t>BI</t>
  </si>
  <si>
    <t>BJ</t>
  </si>
  <si>
    <t>刚性凸缘联轴器</t>
  </si>
  <si>
    <t>BK</t>
  </si>
  <si>
    <t>BL</t>
  </si>
  <si>
    <t>BM</t>
  </si>
  <si>
    <t>BN</t>
  </si>
  <si>
    <t>BO</t>
  </si>
  <si>
    <t>轮胎式联轴器</t>
  </si>
  <si>
    <t>BP</t>
  </si>
  <si>
    <t>梅花形弹性联轴器</t>
  </si>
  <si>
    <t>BQ</t>
  </si>
  <si>
    <t>BR</t>
  </si>
  <si>
    <t>BT</t>
  </si>
  <si>
    <t>BU</t>
  </si>
  <si>
    <t>BV</t>
  </si>
  <si>
    <t>BW</t>
  </si>
  <si>
    <t>BX</t>
  </si>
  <si>
    <t>BY</t>
  </si>
  <si>
    <t>BZ</t>
  </si>
  <si>
    <t>短半径90度弯头</t>
  </si>
  <si>
    <t>CG</t>
  </si>
  <si>
    <t>长半径45度弯头</t>
  </si>
  <si>
    <t>CH</t>
  </si>
  <si>
    <t>长半径90度弯头</t>
  </si>
  <si>
    <t>CI</t>
  </si>
  <si>
    <t>CJ</t>
  </si>
  <si>
    <t>CK</t>
  </si>
  <si>
    <t>CL</t>
  </si>
  <si>
    <t>AA</t>
  </si>
  <si>
    <t>CM</t>
  </si>
  <si>
    <t>CN</t>
  </si>
  <si>
    <t>CO</t>
  </si>
  <si>
    <t>CP</t>
  </si>
  <si>
    <t>ED</t>
  </si>
  <si>
    <t>CQ</t>
  </si>
  <si>
    <t>CR</t>
  </si>
  <si>
    <t>CS</t>
  </si>
  <si>
    <t>CT</t>
  </si>
  <si>
    <t>CV</t>
  </si>
  <si>
    <t>CW</t>
  </si>
  <si>
    <t>CX</t>
  </si>
  <si>
    <t>CY</t>
  </si>
  <si>
    <t>等径三通接头</t>
  </si>
  <si>
    <t>CZ</t>
  </si>
  <si>
    <t>异径三通接头</t>
  </si>
  <si>
    <t>DE</t>
  </si>
  <si>
    <t>等径四通接头</t>
  </si>
  <si>
    <t>DF</t>
  </si>
  <si>
    <t>异径四通接头</t>
  </si>
  <si>
    <t>DG</t>
  </si>
  <si>
    <t>DH</t>
  </si>
  <si>
    <t>DI</t>
  </si>
  <si>
    <t>DJ</t>
  </si>
  <si>
    <t>DK</t>
  </si>
  <si>
    <t>DL</t>
  </si>
  <si>
    <t>长半径180度弯头</t>
  </si>
  <si>
    <t>DM</t>
  </si>
  <si>
    <t>DN</t>
  </si>
  <si>
    <t>DO</t>
  </si>
  <si>
    <t>DP</t>
  </si>
  <si>
    <t>DQ</t>
  </si>
  <si>
    <t>DR</t>
  </si>
  <si>
    <t>偏心异径接头</t>
  </si>
  <si>
    <t>DS</t>
  </si>
  <si>
    <t>DV</t>
  </si>
  <si>
    <t>DW</t>
  </si>
  <si>
    <t>DX</t>
  </si>
  <si>
    <t>DY</t>
  </si>
  <si>
    <t>DZ</t>
  </si>
  <si>
    <t>SPRN-D-碟形弹簧</t>
  </si>
  <si>
    <t>SPRN-L-拉伸弹簧</t>
  </si>
  <si>
    <t>SPRN-Y-压缩弹簧</t>
  </si>
  <si>
    <t>螺钉锁紧挡圈</t>
  </si>
  <si>
    <t>螺栓紧固轴端挡圈</t>
  </si>
  <si>
    <t>孔用弹性挡圈 A型</t>
  </si>
  <si>
    <t>轴用弹性挡圈 A型</t>
  </si>
  <si>
    <t>标准弹簧垫圈</t>
  </si>
  <si>
    <t>大垫圈 A级</t>
  </si>
  <si>
    <t>平垫圈 A级</t>
  </si>
  <si>
    <t>圆螺母用止动垫圈</t>
  </si>
  <si>
    <t>槽钢用方斜垫圈</t>
  </si>
  <si>
    <t>球面垫圈</t>
  </si>
  <si>
    <t>锥面垫圈</t>
  </si>
  <si>
    <t>内齿锁紧垫圈</t>
  </si>
  <si>
    <t>波形弹性垫圈</t>
  </si>
  <si>
    <t>工字钢用方斜垫圈</t>
  </si>
  <si>
    <t>内六角圆柱头螺钉</t>
  </si>
  <si>
    <t>内六角沉头螺钉</t>
  </si>
  <si>
    <t>内六角圆柱端紧定螺钉</t>
  </si>
  <si>
    <t>吊环螺钉</t>
  </si>
  <si>
    <t>内六角凹端紧定螺钉</t>
  </si>
  <si>
    <t>1型六角螺母</t>
  </si>
  <si>
    <t>1型六角螺母 细牙</t>
  </si>
  <si>
    <t>六角薄螺母</t>
  </si>
  <si>
    <t>1型全金属六角锁紧螺母</t>
  </si>
  <si>
    <t>圆螺母</t>
  </si>
  <si>
    <t>六角盖形螺母</t>
  </si>
  <si>
    <t>蝶型螺母 圆翼</t>
  </si>
  <si>
    <t>小圆螺母</t>
  </si>
  <si>
    <t>环形螺母</t>
  </si>
  <si>
    <t>吊环螺母</t>
  </si>
  <si>
    <t>六角开槽薄螺母</t>
  </si>
  <si>
    <t>平头铆螺母</t>
  </si>
  <si>
    <t>平头六角铆螺母</t>
  </si>
  <si>
    <t>六角法兰面螺母</t>
  </si>
  <si>
    <t>六角头螺栓</t>
  </si>
  <si>
    <t>六角头螺栓全螺纹</t>
  </si>
  <si>
    <t>T形槽用螺栓</t>
  </si>
  <si>
    <t>六角头螺栓细牙</t>
  </si>
  <si>
    <t>六角头螺栓细牙全螺纹</t>
  </si>
  <si>
    <t>六角头加强杆螺栓</t>
  </si>
  <si>
    <t>活节螺栓</t>
  </si>
  <si>
    <t>六角法兰面螺栓</t>
  </si>
  <si>
    <t>等长双头螺柱B级</t>
  </si>
  <si>
    <t>双头螺柱bm=1.5d</t>
  </si>
  <si>
    <t>手工焊用焊接螺柱</t>
  </si>
  <si>
    <t>双头螺柱bm=1d</t>
  </si>
  <si>
    <t>标牌铆钉</t>
  </si>
  <si>
    <t>开口型平圆头抽芯铆钉12级</t>
  </si>
  <si>
    <t>开口型平圆头抽芯铆钉51级</t>
  </si>
  <si>
    <t>普通型平键</t>
  </si>
  <si>
    <t>薄型平键</t>
  </si>
  <si>
    <t>开口销</t>
  </si>
  <si>
    <t>无头销轴</t>
  </si>
  <si>
    <t>销轴</t>
  </si>
  <si>
    <t>圆柱销</t>
  </si>
  <si>
    <t>弹性圆柱销</t>
  </si>
  <si>
    <t>QA</t>
  </si>
  <si>
    <t>TA</t>
  </si>
  <si>
    <t>1～4</t>
  </si>
  <si>
    <t>1～3</t>
  </si>
  <si>
    <t>材质属性</t>
  </si>
  <si>
    <t>UABA</t>
  </si>
  <si>
    <t>UABC</t>
  </si>
  <si>
    <t>UABD</t>
  </si>
  <si>
    <t>UABE</t>
  </si>
  <si>
    <t>UABF</t>
  </si>
  <si>
    <t>UABG</t>
  </si>
  <si>
    <t>UACB</t>
  </si>
  <si>
    <t>UACD</t>
  </si>
  <si>
    <t>UADA</t>
  </si>
  <si>
    <t>UADB</t>
  </si>
  <si>
    <t>UADC</t>
  </si>
  <si>
    <t>UADE</t>
  </si>
  <si>
    <t>UADF</t>
  </si>
  <si>
    <t>UADG</t>
  </si>
  <si>
    <t>UADH</t>
  </si>
  <si>
    <t>UADI</t>
  </si>
  <si>
    <t>UADJ</t>
  </si>
  <si>
    <t>UADK</t>
  </si>
  <si>
    <t>UADL</t>
  </si>
  <si>
    <t>UADM</t>
  </si>
  <si>
    <t>UAEA</t>
  </si>
  <si>
    <t>UAEB</t>
  </si>
  <si>
    <t>UAEC</t>
  </si>
  <si>
    <t>UAED</t>
  </si>
  <si>
    <t>UAEQ</t>
  </si>
  <si>
    <t>UAFA</t>
  </si>
  <si>
    <t>UAFB</t>
  </si>
  <si>
    <t>UAFC</t>
  </si>
  <si>
    <t>UAFD</t>
  </si>
  <si>
    <t>UAFQ</t>
  </si>
  <si>
    <t>UAGA</t>
  </si>
  <si>
    <t>UAGB</t>
  </si>
  <si>
    <t>UAGC</t>
  </si>
  <si>
    <t>000</t>
  </si>
  <si>
    <t>供给商编码</t>
  </si>
  <si>
    <t>RBAC</t>
  </si>
  <si>
    <t>RBAD</t>
  </si>
  <si>
    <t>RBAE</t>
  </si>
  <si>
    <t>RBAF</t>
  </si>
  <si>
    <t>RBAG</t>
  </si>
  <si>
    <t>RBAH</t>
  </si>
  <si>
    <t>RBAI</t>
  </si>
  <si>
    <t>RBAJ</t>
  </si>
  <si>
    <t>RBAK</t>
  </si>
  <si>
    <t>RBAL</t>
  </si>
  <si>
    <t>RBAM</t>
  </si>
  <si>
    <t>RBAN</t>
  </si>
  <si>
    <t>RBAO</t>
  </si>
  <si>
    <t>RBAP</t>
  </si>
  <si>
    <t>RBAQ</t>
  </si>
  <si>
    <t>RBAR</t>
  </si>
  <si>
    <t>RBAS</t>
  </si>
  <si>
    <t>RBAT</t>
  </si>
  <si>
    <t>RBAU</t>
  </si>
  <si>
    <t>RBAV</t>
  </si>
  <si>
    <t>RBAW</t>
  </si>
  <si>
    <t>RBAX</t>
  </si>
  <si>
    <t>RBAY</t>
  </si>
  <si>
    <t>RBAZ</t>
  </si>
  <si>
    <t>RBCD</t>
  </si>
  <si>
    <t>RBCE</t>
  </si>
  <si>
    <t>RBCF</t>
  </si>
  <si>
    <t>RCHA</t>
  </si>
  <si>
    <t>RCHB</t>
  </si>
  <si>
    <t>RCHC</t>
  </si>
  <si>
    <t>RCHD</t>
  </si>
  <si>
    <t>RCHE</t>
  </si>
  <si>
    <t>RCHF</t>
  </si>
  <si>
    <t>RCHG</t>
  </si>
  <si>
    <t>RCHI</t>
  </si>
  <si>
    <t>RCHJ</t>
  </si>
  <si>
    <t>RCHK</t>
  </si>
  <si>
    <t>RCHL</t>
  </si>
  <si>
    <t>RCHM</t>
  </si>
  <si>
    <t>RCHN</t>
  </si>
  <si>
    <t>RCHO</t>
  </si>
  <si>
    <t>RCHP</t>
  </si>
  <si>
    <t>RCHQ</t>
  </si>
  <si>
    <t>RCHR</t>
  </si>
  <si>
    <t>RCHS</t>
  </si>
  <si>
    <t>RCHT</t>
  </si>
  <si>
    <t>RCHU</t>
  </si>
  <si>
    <t>RCHV</t>
  </si>
  <si>
    <t>RDNA</t>
  </si>
  <si>
    <t>RESA</t>
  </si>
  <si>
    <t>RESB</t>
  </si>
  <si>
    <t>RESC</t>
  </si>
  <si>
    <t>RESD</t>
  </si>
  <si>
    <t>RESE</t>
  </si>
  <si>
    <t>RESF</t>
  </si>
  <si>
    <t>RESG</t>
  </si>
  <si>
    <t>RESH</t>
  </si>
  <si>
    <t>RESI</t>
  </si>
  <si>
    <t>RESJ</t>
  </si>
  <si>
    <t>RESK</t>
  </si>
  <si>
    <t>RESL</t>
  </si>
  <si>
    <t>RESM</t>
  </si>
  <si>
    <t>RESN</t>
  </si>
  <si>
    <t>RESO</t>
  </si>
  <si>
    <t>RESP</t>
  </si>
  <si>
    <t>RESQ</t>
  </si>
  <si>
    <t>RESR</t>
  </si>
  <si>
    <t>REST</t>
  </si>
  <si>
    <t>RESU</t>
  </si>
  <si>
    <t>RESV</t>
  </si>
  <si>
    <t>RESW</t>
  </si>
  <si>
    <t>RESX</t>
  </si>
  <si>
    <t>RESY</t>
  </si>
  <si>
    <t>RESZ</t>
  </si>
  <si>
    <t>RETA</t>
  </si>
  <si>
    <t>RETB</t>
  </si>
  <si>
    <t>RETC</t>
  </si>
  <si>
    <t>RETD</t>
  </si>
  <si>
    <t>RETE</t>
  </si>
  <si>
    <t>RETF</t>
  </si>
  <si>
    <t>RETG</t>
  </si>
  <si>
    <t>RETH</t>
  </si>
  <si>
    <t>RETI</t>
  </si>
  <si>
    <t>RETJ</t>
  </si>
  <si>
    <t>RETK</t>
  </si>
  <si>
    <t>RETL</t>
  </si>
  <si>
    <t>RETM</t>
  </si>
  <si>
    <t>RETN</t>
  </si>
  <si>
    <t>RETO</t>
  </si>
  <si>
    <t>RETP</t>
  </si>
  <si>
    <t>RETQ</t>
  </si>
  <si>
    <t>RETR</t>
  </si>
  <si>
    <t>RETS</t>
  </si>
  <si>
    <t>RETU</t>
  </si>
  <si>
    <t>RETV</t>
  </si>
  <si>
    <t>RETW</t>
  </si>
  <si>
    <t>RETX</t>
  </si>
  <si>
    <t>RETY</t>
  </si>
  <si>
    <t>正压关风器</t>
  </si>
  <si>
    <t>RETZ</t>
  </si>
  <si>
    <t>REUA</t>
  </si>
  <si>
    <t>REUB</t>
  </si>
  <si>
    <t>REUC</t>
  </si>
  <si>
    <t>REUD</t>
  </si>
  <si>
    <t>REUE</t>
  </si>
  <si>
    <t>REUF</t>
  </si>
  <si>
    <t>REUG</t>
  </si>
  <si>
    <t>REUH</t>
  </si>
  <si>
    <t>REUI</t>
  </si>
  <si>
    <t>REUJ</t>
  </si>
  <si>
    <t>REUK</t>
  </si>
  <si>
    <t>REUL</t>
  </si>
  <si>
    <t>REUM</t>
  </si>
  <si>
    <t>REUN</t>
  </si>
  <si>
    <t>REUO</t>
  </si>
  <si>
    <t>REUP</t>
  </si>
  <si>
    <t>REUQ</t>
  </si>
  <si>
    <t>REUR</t>
  </si>
  <si>
    <t>REUS</t>
  </si>
  <si>
    <t>REUT</t>
  </si>
  <si>
    <t>REUV</t>
  </si>
  <si>
    <t>REUW</t>
  </si>
  <si>
    <t>REUX</t>
  </si>
  <si>
    <t>REUY</t>
  </si>
  <si>
    <t>REUZ</t>
  </si>
  <si>
    <t>REVA</t>
  </si>
  <si>
    <t>REVB</t>
  </si>
  <si>
    <t>REVC</t>
  </si>
  <si>
    <t>REVD</t>
  </si>
  <si>
    <t>REVE</t>
  </si>
  <si>
    <t>REVF</t>
  </si>
  <si>
    <t>REVG</t>
  </si>
  <si>
    <t>REVH</t>
  </si>
  <si>
    <t>REVI</t>
  </si>
  <si>
    <t>REVJ</t>
  </si>
  <si>
    <t>REVK</t>
  </si>
  <si>
    <t>REVL</t>
  </si>
  <si>
    <t>REVM</t>
  </si>
  <si>
    <t>REVN</t>
  </si>
  <si>
    <t>REVO</t>
  </si>
  <si>
    <t>REVP</t>
  </si>
  <si>
    <t>REVQ</t>
  </si>
  <si>
    <t>REVR</t>
  </si>
  <si>
    <t>REVS</t>
  </si>
  <si>
    <t>REVT</t>
  </si>
  <si>
    <t>REVU</t>
  </si>
  <si>
    <t>大类</t>
  </si>
  <si>
    <t>中类</t>
  </si>
  <si>
    <t>小类</t>
  </si>
  <si>
    <t>NFAB</t>
  </si>
  <si>
    <t>NFAC</t>
  </si>
  <si>
    <t>NFAD</t>
  </si>
  <si>
    <t>NFAE</t>
  </si>
  <si>
    <t>NFAF</t>
  </si>
  <si>
    <t>NFAG</t>
  </si>
  <si>
    <t>NFAH</t>
  </si>
  <si>
    <t>NFAI</t>
  </si>
  <si>
    <t>NFAJ</t>
  </si>
  <si>
    <t>NFAK</t>
  </si>
  <si>
    <t>NFAL</t>
  </si>
  <si>
    <t>NFAM</t>
  </si>
  <si>
    <t>NFAN</t>
  </si>
  <si>
    <t>NFBA</t>
  </si>
  <si>
    <t>NFBC</t>
  </si>
  <si>
    <t>NFBD</t>
  </si>
  <si>
    <t>NFBE</t>
  </si>
  <si>
    <t>NFBF</t>
  </si>
  <si>
    <t>NFBG</t>
  </si>
  <si>
    <t>NFBH</t>
  </si>
  <si>
    <t>NFBI</t>
  </si>
  <si>
    <t>NFBJ</t>
  </si>
  <si>
    <t>NFBK</t>
  </si>
  <si>
    <t>NFBL</t>
  </si>
  <si>
    <t>NFBM</t>
  </si>
  <si>
    <t>NFBN</t>
  </si>
  <si>
    <t>NFBP</t>
  </si>
  <si>
    <t>NFBQ</t>
  </si>
  <si>
    <t>NFBR</t>
  </si>
  <si>
    <t>NFBS</t>
  </si>
  <si>
    <t>NFBT</t>
  </si>
  <si>
    <t>NFBU</t>
  </si>
  <si>
    <t>NFBV</t>
  </si>
  <si>
    <t>NFBW</t>
  </si>
  <si>
    <t>链</t>
  </si>
  <si>
    <t>NFCA</t>
  </si>
  <si>
    <t>NFDA</t>
  </si>
  <si>
    <t>NFDB</t>
  </si>
  <si>
    <t>NFDC</t>
  </si>
  <si>
    <t>NFDE</t>
  </si>
  <si>
    <t>NFDF</t>
  </si>
  <si>
    <t>NFDG</t>
  </si>
  <si>
    <t>NFDH</t>
  </si>
  <si>
    <t>NFDI</t>
  </si>
  <si>
    <t>NFDJ</t>
  </si>
  <si>
    <t>NFDK</t>
  </si>
  <si>
    <t>NFDL</t>
  </si>
  <si>
    <t>NFDM</t>
  </si>
  <si>
    <t>NFDN</t>
  </si>
  <si>
    <t>NFEA</t>
  </si>
  <si>
    <t>NFEB</t>
  </si>
  <si>
    <t>NFEC</t>
  </si>
  <si>
    <t>NFED</t>
  </si>
  <si>
    <t>NFGA</t>
  </si>
  <si>
    <t>NGAB</t>
  </si>
  <si>
    <t>NGAC</t>
  </si>
  <si>
    <t>NGAD</t>
  </si>
  <si>
    <t>NGAE</t>
  </si>
  <si>
    <t>NGAF</t>
  </si>
  <si>
    <t>NGAG</t>
  </si>
  <si>
    <t>NGAH</t>
  </si>
  <si>
    <t>NGAI</t>
  </si>
  <si>
    <t>NGAJ</t>
  </si>
  <si>
    <t>垫片</t>
  </si>
  <si>
    <t>NGBA</t>
  </si>
  <si>
    <t>NGBC</t>
  </si>
  <si>
    <t>法兰</t>
  </si>
  <si>
    <t>NGCA</t>
  </si>
  <si>
    <t>NGCB</t>
  </si>
  <si>
    <t>NGCD</t>
  </si>
  <si>
    <t>NGDA</t>
  </si>
  <si>
    <t>NGDB</t>
  </si>
  <si>
    <t>NGDC</t>
  </si>
  <si>
    <t>NGDE</t>
  </si>
  <si>
    <t>NGDF</t>
  </si>
  <si>
    <t>NGDH</t>
  </si>
  <si>
    <t>NGDI</t>
  </si>
  <si>
    <t>NGDJ</t>
  </si>
  <si>
    <t>NGDK</t>
  </si>
  <si>
    <t>NGDL</t>
  </si>
  <si>
    <t>NHAC</t>
  </si>
  <si>
    <t>NHAD</t>
  </si>
  <si>
    <t>NHAE</t>
  </si>
  <si>
    <t>NHBA</t>
  </si>
  <si>
    <t>NHBC</t>
  </si>
  <si>
    <t>NHBD</t>
  </si>
  <si>
    <t>NHBE</t>
  </si>
  <si>
    <t>NHCA</t>
  </si>
  <si>
    <t>NHCB</t>
  </si>
  <si>
    <t>NHCD</t>
  </si>
  <si>
    <t>NHCE</t>
  </si>
  <si>
    <t>NHCF</t>
  </si>
  <si>
    <t>NHCG</t>
  </si>
  <si>
    <t>NHCI</t>
  </si>
  <si>
    <t>NHCJ</t>
  </si>
  <si>
    <t>NHCK</t>
  </si>
  <si>
    <t>NHCL</t>
  </si>
  <si>
    <t>NHDA</t>
  </si>
  <si>
    <t>NHDB</t>
  </si>
  <si>
    <t>NHDC</t>
  </si>
  <si>
    <t>NHDE</t>
  </si>
  <si>
    <t>NHDF</t>
  </si>
  <si>
    <t>NHEA</t>
  </si>
  <si>
    <t>NHEB</t>
  </si>
  <si>
    <t>NHEC</t>
  </si>
  <si>
    <t>NHED</t>
  </si>
  <si>
    <t>NHEF</t>
  </si>
  <si>
    <t>NHEG</t>
  </si>
  <si>
    <t>NHEI</t>
  </si>
  <si>
    <t>NHEJ</t>
  </si>
  <si>
    <t>NHEK</t>
  </si>
  <si>
    <t>NHEL</t>
  </si>
  <si>
    <t>NHEM</t>
  </si>
  <si>
    <t>NHEN</t>
  </si>
  <si>
    <t>NHEO</t>
  </si>
  <si>
    <t>NHEP</t>
  </si>
  <si>
    <t>NHFA</t>
  </si>
  <si>
    <t>NHFB</t>
  </si>
  <si>
    <t>NHFC</t>
  </si>
  <si>
    <t>NHFD</t>
  </si>
  <si>
    <t>NHFE</t>
  </si>
  <si>
    <t>NHFG</t>
  </si>
  <si>
    <t>NHFI</t>
  </si>
  <si>
    <t>NHFJ</t>
  </si>
  <si>
    <t>NHGA</t>
  </si>
  <si>
    <t>NHGB</t>
  </si>
  <si>
    <t>NHGC</t>
  </si>
  <si>
    <t>NHGD</t>
  </si>
  <si>
    <t>NHIA</t>
  </si>
  <si>
    <t>NHIB</t>
  </si>
  <si>
    <t>NHIC</t>
  </si>
  <si>
    <t>NHJA</t>
  </si>
  <si>
    <t>NHJB</t>
  </si>
  <si>
    <t>NHKA</t>
  </si>
  <si>
    <t>NHKB</t>
  </si>
  <si>
    <t>NHKC</t>
  </si>
  <si>
    <t>NHKD</t>
  </si>
  <si>
    <t>NHKE</t>
  </si>
  <si>
    <t>100000ASME-法兰管件</t>
  </si>
  <si>
    <t>ASME-01 滑套角焊法兰-ASME-B16.5</t>
  </si>
  <si>
    <t>ASME-法兰管件</t>
  </si>
  <si>
    <t>10000000ASME-法兰管件</t>
  </si>
  <si>
    <t>10010000ASME-01 滑套角焊法兰-ASME-B16.5</t>
  </si>
  <si>
    <t>ASME-06 钢制管法兰盖-ASME-B16.5</t>
  </si>
  <si>
    <t>10020000ASME-06 钢制管法兰盖-ASME-B16.5</t>
  </si>
  <si>
    <t>ASME-07 平垫片-ASME-B16.21</t>
  </si>
  <si>
    <t>10030000ASME-07 平垫片-ASME-B16.21</t>
  </si>
  <si>
    <t>ASME-09 弯头-ASME-B16.9</t>
  </si>
  <si>
    <t>10040000ASME-09 弯头-ASME-B16.9</t>
  </si>
  <si>
    <t>10040100短半径90度弯头</t>
  </si>
  <si>
    <t>10040200长半径45度弯头</t>
  </si>
  <si>
    <t>10040300长半径90度弯头</t>
  </si>
  <si>
    <t>ASME-10 三通-ASME-B16.9</t>
  </si>
  <si>
    <t>10050000ASME-10 三通-ASME-B16.9</t>
  </si>
  <si>
    <t>10050100等径三通</t>
  </si>
  <si>
    <t>ASME-11 四通-ASME-B16.9</t>
  </si>
  <si>
    <t>10060000ASME-11 四通-ASME-B16.9</t>
  </si>
  <si>
    <t>10060100等径四通</t>
  </si>
  <si>
    <t>ASME-12 异径接头-ASME-B16.9</t>
  </si>
  <si>
    <t>10070000ASME-12 异径接头-ASME-B16.9</t>
  </si>
  <si>
    <t>10070100同心异径接头</t>
  </si>
  <si>
    <t>110000BEAR-轴承、轴承座</t>
  </si>
  <si>
    <t>01-轴承</t>
  </si>
  <si>
    <t>01-深沟球轴承</t>
  </si>
  <si>
    <t>BEAR-轴承、轴承座</t>
  </si>
  <si>
    <t>11000000BEAR-轴承、轴承座</t>
  </si>
  <si>
    <t>1101000001-轴承</t>
  </si>
  <si>
    <t>1101010001-深沟球轴承</t>
  </si>
  <si>
    <t>02-调心球轴承</t>
  </si>
  <si>
    <t>1101020002-调心球轴承</t>
  </si>
  <si>
    <t>03-圆柱滚子轴承</t>
  </si>
  <si>
    <t>1101030003-圆柱滚子轴承</t>
  </si>
  <si>
    <t>04-圆锥滚子轴承</t>
  </si>
  <si>
    <t>1101040004-圆锥滚子轴承</t>
  </si>
  <si>
    <t>05-调心滚子轴承</t>
  </si>
  <si>
    <t>1101050005-调心滚子轴承</t>
  </si>
  <si>
    <t>06-角接触球轴承</t>
  </si>
  <si>
    <t>1101060006-角接触球轴承</t>
  </si>
  <si>
    <t>07-推力球轴承</t>
  </si>
  <si>
    <t>1101070007-推力球轴承</t>
  </si>
  <si>
    <t>08-自润滑轴承</t>
  </si>
  <si>
    <t>1101080008-自润滑轴承</t>
  </si>
  <si>
    <t>09-冲压外圈滚针离合器</t>
  </si>
  <si>
    <t>1101090009-冲压外圈滚针离合器</t>
  </si>
  <si>
    <t>10-向心关节轴承</t>
  </si>
  <si>
    <t>1101100010-向心关节轴承</t>
  </si>
  <si>
    <t>11-推力调心滚子轴承</t>
  </si>
  <si>
    <t>1101110011-推力调心滚子轴承</t>
  </si>
  <si>
    <t>12-滚针轴承</t>
  </si>
  <si>
    <t>1101120012-滚针轴承</t>
  </si>
  <si>
    <t>13-双列角接触球轴承</t>
  </si>
  <si>
    <t>1101130013-双列角接触球轴承</t>
  </si>
  <si>
    <t>02-轴承座</t>
  </si>
  <si>
    <t>01-SKF 轴承座</t>
  </si>
  <si>
    <t>01-SNL2系列轴承座</t>
  </si>
  <si>
    <t>1102000002-轴承座</t>
  </si>
  <si>
    <t>1102010001-SKF 轴承座</t>
  </si>
  <si>
    <t>1102010101-SNL2系列轴承座</t>
  </si>
  <si>
    <t>02-SNL3系列轴承座</t>
  </si>
  <si>
    <t>1102010202-SNL3系列轴承座</t>
  </si>
  <si>
    <t>03-SNL5系列轴承座</t>
  </si>
  <si>
    <t>1102010303-SNL5系列轴承座</t>
  </si>
  <si>
    <t>04-SNL6系列轴承座</t>
  </si>
  <si>
    <t>1102010404-SNL6系列轴承座</t>
  </si>
  <si>
    <t>02-九州 轴承座</t>
  </si>
  <si>
    <t>01-SN500系列</t>
  </si>
  <si>
    <t>1102020002-九州 轴承座</t>
  </si>
  <si>
    <t>1102020101-SN500系列</t>
  </si>
  <si>
    <t>02-SN600系列</t>
  </si>
  <si>
    <t>1102020202-SN600系列</t>
  </si>
  <si>
    <t>03-SN200系列</t>
  </si>
  <si>
    <t>1102020303-SN200系列</t>
  </si>
  <si>
    <t>04-SN300系列</t>
  </si>
  <si>
    <t>1102020404-SN300系列</t>
  </si>
  <si>
    <t>05-SN3100系列</t>
  </si>
  <si>
    <t>1102020505-SN3100系列</t>
  </si>
  <si>
    <t>06-SSN500系列</t>
  </si>
  <si>
    <t>1102020606-SSN500系列</t>
  </si>
  <si>
    <t>07-SD600系列</t>
  </si>
  <si>
    <t>1102020707-SD600系列</t>
  </si>
  <si>
    <t>08-SD3100系列</t>
  </si>
  <si>
    <t>1102020808-SD3100系列</t>
  </si>
  <si>
    <t>09-722500系列</t>
  </si>
  <si>
    <t>1102020909-722500系列</t>
  </si>
  <si>
    <t>10-S3000K系列</t>
  </si>
  <si>
    <t>1102021010-S3000K系列</t>
  </si>
  <si>
    <t>11-SNU500系列</t>
  </si>
  <si>
    <t>1102021111-SNU500系列</t>
  </si>
  <si>
    <t>12-SNL3系列</t>
  </si>
  <si>
    <t>1102021212-SNL3系列</t>
  </si>
  <si>
    <t>13-SNL5系列</t>
  </si>
  <si>
    <t>1102021313-SNL5系列</t>
  </si>
  <si>
    <t>14-U0带座轴承</t>
  </si>
  <si>
    <t>1102021414-U0带座轴承</t>
  </si>
  <si>
    <t>03-国产 轴承座</t>
  </si>
  <si>
    <t>1102030003-国产 轴承座</t>
  </si>
  <si>
    <t>03-止推环</t>
  </si>
  <si>
    <t>1103000003-止推环</t>
  </si>
  <si>
    <t>04-紧定套</t>
  </si>
  <si>
    <t>1104000004-紧定套</t>
  </si>
  <si>
    <t>120000CHAN-链</t>
  </si>
  <si>
    <t>01-精密滚子链</t>
  </si>
  <si>
    <t>CHAN-链</t>
  </si>
  <si>
    <t>12000000CHAN-链</t>
  </si>
  <si>
    <t>1201000001-精密滚子链</t>
  </si>
  <si>
    <t>130000GRBX-减速机、减速箱</t>
  </si>
  <si>
    <t>01-R系列减速机</t>
  </si>
  <si>
    <t>GRBX-减速机、减速箱</t>
  </si>
  <si>
    <t>13000000GRBX-减速机、减速箱</t>
  </si>
  <si>
    <t>1301000001-R系列减速机</t>
  </si>
  <si>
    <t>02-R系列减速电机</t>
  </si>
  <si>
    <t>1301000002-R系列减速电机</t>
  </si>
  <si>
    <t>03-F系列减速机</t>
  </si>
  <si>
    <t>1301000003-F系列减速机</t>
  </si>
  <si>
    <t>04-F系列减速电机</t>
  </si>
  <si>
    <t>1301000004-F系列减速电机</t>
  </si>
  <si>
    <t>05-K系列减速机</t>
  </si>
  <si>
    <t>1301000005-K系列减速机</t>
  </si>
  <si>
    <t>06-K系列减速电机</t>
  </si>
  <si>
    <t>1301000006-K系列减速电机</t>
  </si>
  <si>
    <t>07-S系列减速机</t>
  </si>
  <si>
    <t>1301000007-S系列减速机</t>
  </si>
  <si>
    <t>08-S系列减速电机</t>
  </si>
  <si>
    <t>1301000008-S系列减速电机</t>
  </si>
  <si>
    <t>09-X系列减速箱</t>
  </si>
  <si>
    <t>1301000009-X系列减速箱</t>
  </si>
  <si>
    <t>10-YC系列减速箱</t>
  </si>
  <si>
    <t>1301000010-YC系列减速箱</t>
  </si>
  <si>
    <t>11-MC系列减速箱</t>
  </si>
  <si>
    <t>1301000011-MC系列减速箱</t>
  </si>
  <si>
    <t>12-ML系列减速箱</t>
  </si>
  <si>
    <t>1301000012-ML系列减速箱</t>
  </si>
  <si>
    <t>13-M系列减速箱</t>
  </si>
  <si>
    <t>1301000013-M系列减速箱</t>
  </si>
  <si>
    <t>140000MORT-电机</t>
  </si>
  <si>
    <t>01-普通电机</t>
  </si>
  <si>
    <t>MORT-电机</t>
  </si>
  <si>
    <t>14000000MORT-电机</t>
  </si>
  <si>
    <t>1401000001-普通电机</t>
  </si>
  <si>
    <t>02-防爆电机</t>
  </si>
  <si>
    <t>1402000002-防爆电机</t>
  </si>
  <si>
    <t>03-变频电机</t>
  </si>
  <si>
    <t>1403000003-变频电机</t>
  </si>
  <si>
    <t>04-变频防爆电机</t>
  </si>
  <si>
    <t>1404000004-变频防爆电机</t>
  </si>
  <si>
    <t>150000SPRN-弹簧</t>
  </si>
  <si>
    <t>SPRN-弹簧</t>
  </si>
  <si>
    <t>15000000SPRN-弹簧</t>
  </si>
  <si>
    <t>15010000SPRN-D-碟形弹簧</t>
  </si>
  <si>
    <t>15020000SPRN-L-拉伸弹簧</t>
  </si>
  <si>
    <t>15030000SPRN-Y-压缩弹簧</t>
  </si>
  <si>
    <t>160000WLDJ-挡圈</t>
  </si>
  <si>
    <t>WLDJ-01 螺钉锁紧挡圈</t>
  </si>
  <si>
    <t>WLDJ-挡圈</t>
  </si>
  <si>
    <t>16000000WLDJ-挡圈</t>
  </si>
  <si>
    <t>16010000WLDJ-01 螺钉锁紧挡圈</t>
  </si>
  <si>
    <t>WLDJ-02 螺栓紧固轴端挡圈</t>
  </si>
  <si>
    <t>16020000WLDJ-02 螺栓紧固轴端挡圈</t>
  </si>
  <si>
    <t>WLDJ-03 孔用弹性挡圈 A型</t>
  </si>
  <si>
    <t>16030000WLDJ-03 孔用弹性挡圈 A型</t>
  </si>
  <si>
    <t>WLDJ-04 轴用弹性挡圈 A型</t>
  </si>
  <si>
    <t>16040000WLDJ-04 轴用弹性挡圈 A型</t>
  </si>
  <si>
    <t>170000WLDQ-垫圈</t>
  </si>
  <si>
    <t>WLDQ-01 标准弹簧垫圈</t>
  </si>
  <si>
    <t>WLDQ-垫圈</t>
  </si>
  <si>
    <t>17000000WLDQ-垫圈</t>
  </si>
  <si>
    <t>17010000WLDQ-01 标准弹簧垫圈</t>
  </si>
  <si>
    <t>WLDQ-02 大垫圈 A级</t>
  </si>
  <si>
    <t>17020000WLDQ-02 大垫圈 A级</t>
  </si>
  <si>
    <t>WLDQ-03 平垫圈 A级</t>
  </si>
  <si>
    <t>17030000WLDQ-03 平垫圈 A级</t>
  </si>
  <si>
    <t>WLDQ-04 圆螺母用止动垫圈</t>
  </si>
  <si>
    <t>17040000WLDQ-04 圆螺母用止动垫圈</t>
  </si>
  <si>
    <t>WLDQ-05 槽钢用方斜垫圈</t>
  </si>
  <si>
    <t>17050000WLDQ-05 槽钢用方斜垫圈</t>
  </si>
  <si>
    <t>WLDQ-06 球面垫圈</t>
  </si>
  <si>
    <t>17060000WLDQ-06 球面垫圈</t>
  </si>
  <si>
    <t>WLDQ-07 锥面垫圈</t>
  </si>
  <si>
    <t>17070000WLDQ-07 锥面垫圈</t>
  </si>
  <si>
    <t>WLDQ-08 内齿锁紧垫圈</t>
  </si>
  <si>
    <t>17080000WLDQ-08 内齿锁紧垫圈</t>
  </si>
  <si>
    <t>WLDQ-09 波形弹性垫圈</t>
  </si>
  <si>
    <t>17090000WLDQ-09 波形弹性垫圈</t>
  </si>
  <si>
    <t>WLDQ-10 工字钢用方斜垫圈</t>
  </si>
  <si>
    <t>17100000WLDQ-10 工字钢用方斜垫圈</t>
  </si>
  <si>
    <t>180000WLLD-螺钉</t>
  </si>
  <si>
    <t>WLLD-01 内六角圆柱头螺钉</t>
  </si>
  <si>
    <t>WLLD-螺钉</t>
  </si>
  <si>
    <t>18000000WLLD-螺钉</t>
  </si>
  <si>
    <t>18010000WLLD-01 内六角圆柱头螺钉</t>
  </si>
  <si>
    <t>WLLD-02 内六角沉头螺钉</t>
  </si>
  <si>
    <t>18020000WLLD-02 内六角沉头螺钉</t>
  </si>
  <si>
    <t>WLLD-03 内六角圆柱端紧定螺钉</t>
  </si>
  <si>
    <t>18030000WLLD-03 内六角圆柱端紧定螺钉</t>
  </si>
  <si>
    <t>WLLD-04 吊环螺钉</t>
  </si>
  <si>
    <t>18040000WLLD-04 吊环螺钉</t>
  </si>
  <si>
    <t>WLLD-05 内六角凹端紧定螺钉</t>
  </si>
  <si>
    <t>18050000WLLD-05 内六角凹端紧定螺钉</t>
  </si>
  <si>
    <t>190000WLLM-螺母</t>
  </si>
  <si>
    <t>WLLM-01 1型六角螺母</t>
  </si>
  <si>
    <t>WLLM-螺母</t>
  </si>
  <si>
    <t>19000000WLLM-螺母</t>
  </si>
  <si>
    <t>19010000WLLM-01 1型六角螺母</t>
  </si>
  <si>
    <t>WLLM-02 1型六角螺母 细牙</t>
  </si>
  <si>
    <t>19020000WLLM-02 1型六角螺母 细牙</t>
  </si>
  <si>
    <t>WLLM-03 六角薄螺母</t>
  </si>
  <si>
    <t>19030000WLLM-03 六角薄螺母</t>
  </si>
  <si>
    <t>WLLM-04 1型全金属六角锁紧螺母</t>
  </si>
  <si>
    <t>19040000WLLM-04 1型全金属六角锁紧螺母</t>
  </si>
  <si>
    <t>WLLM-05 圆螺母</t>
  </si>
  <si>
    <t>19050000WLLM-05 圆螺母</t>
  </si>
  <si>
    <t>WLLM-06 六角盖形螺母</t>
  </si>
  <si>
    <t>19060000WLLM-06 六角盖形螺母</t>
  </si>
  <si>
    <t>WLLM-07 蝶型螺母 圆翼</t>
  </si>
  <si>
    <t>19070000WLLM-07 蝶型螺母 圆翼</t>
  </si>
  <si>
    <t>WLLM-08 小圆螺母</t>
  </si>
  <si>
    <t>19080000WLLM-08 小圆螺母</t>
  </si>
  <si>
    <t>WLLM-09 环形螺母</t>
  </si>
  <si>
    <t>19090000WLLM-09 环形螺母</t>
  </si>
  <si>
    <t>WLLM-10 吊环螺母</t>
  </si>
  <si>
    <t>19100000WLLM-10 吊环螺母</t>
  </si>
  <si>
    <t>WLLM-11 六角开槽薄螺母</t>
  </si>
  <si>
    <t>19110000WLLM-11 六角开槽薄螺母</t>
  </si>
  <si>
    <t>WLLM-12 平头铆螺母</t>
  </si>
  <si>
    <t>19120000WLLM-12 平头铆螺母</t>
  </si>
  <si>
    <t>WLLM-13 平头六角铆螺母</t>
  </si>
  <si>
    <t>19130000WLLM-13 平头六角铆螺母</t>
  </si>
  <si>
    <t>WLLM-14 六角法兰面螺母</t>
  </si>
  <si>
    <t>19140000WLLM-14 六角法兰面螺母</t>
  </si>
  <si>
    <t>200000WLLS-螺栓</t>
  </si>
  <si>
    <t>WLLS-01 六角头螺栓</t>
  </si>
  <si>
    <t>WLLS-螺栓</t>
  </si>
  <si>
    <t>20000000WLLS-螺栓</t>
  </si>
  <si>
    <t>20010000WLLS-01 六角头螺栓</t>
  </si>
  <si>
    <t>WLLS-02 六角头螺栓全螺纹</t>
  </si>
  <si>
    <t>20020000WLLS-02 六角头螺栓全螺纹</t>
  </si>
  <si>
    <t>WLLS-03 T形槽用螺栓</t>
  </si>
  <si>
    <t>20020000WLLS-03 T形槽用螺栓</t>
  </si>
  <si>
    <t>WLLS-04 六角头螺栓细牙</t>
  </si>
  <si>
    <t>20020000WLLS-04 六角头螺栓细牙</t>
  </si>
  <si>
    <t>WLLS-05 六角头螺栓细牙全螺纹</t>
  </si>
  <si>
    <t>20020000WLLS-05 六角头螺栓细牙全螺纹</t>
  </si>
  <si>
    <t>WLLS-06 六角头加强杆螺栓</t>
  </si>
  <si>
    <t>20020000WLLS-06 六角头加强杆螺栓</t>
  </si>
  <si>
    <t>WLLS-07 活节螺栓</t>
  </si>
  <si>
    <t>20020000WLLS-07 活节螺栓</t>
  </si>
  <si>
    <t>WLLS-08 六角法兰面螺栓</t>
  </si>
  <si>
    <t>20020000WLLS-08 六角法兰面螺栓</t>
  </si>
  <si>
    <t>210000WLLZ-螺柱</t>
  </si>
  <si>
    <t>WLLZ-01 等长双头螺柱B级</t>
  </si>
  <si>
    <t>WLLZ-螺柱</t>
  </si>
  <si>
    <t>21000000WLLZ-螺柱</t>
  </si>
  <si>
    <t>21010000WLLZ-01 等长双头螺柱B级</t>
  </si>
  <si>
    <t>WLLZ-02 双头螺柱bm=1.5d</t>
  </si>
  <si>
    <t>21020000WLLZ-02 双头螺柱bm=1.5d</t>
  </si>
  <si>
    <t>WLLZ-03 手工焊用焊接螺柱</t>
  </si>
  <si>
    <t>21030000WLLZ-03 手工焊用焊接螺柱</t>
  </si>
  <si>
    <t>WLLZ-04 双头螺柱bm=1d</t>
  </si>
  <si>
    <t>21040000WLLZ-04 双头螺柱bm=1d</t>
  </si>
  <si>
    <t>220000WLMD-铆钉</t>
  </si>
  <si>
    <t>WLMD-01 标牌铆钉</t>
  </si>
  <si>
    <t>WLMD-铆钉</t>
  </si>
  <si>
    <t>22000000WLMD-铆钉</t>
  </si>
  <si>
    <t>22010000WLMD-01 标牌铆钉</t>
  </si>
  <si>
    <t>WLMD-02 开口型平圆头抽芯铆钉12级</t>
  </si>
  <si>
    <t>22020000WLMD-02 开口型平圆头抽芯铆钉12级</t>
  </si>
  <si>
    <t>WLMD-03 开口型平圆头抽芯铆钉51级</t>
  </si>
  <si>
    <t>230000WLPJ-键</t>
  </si>
  <si>
    <t>WLPJ-01 普通型平键</t>
  </si>
  <si>
    <t>WLPJ-键</t>
  </si>
  <si>
    <t>23000000WLPJ-键</t>
  </si>
  <si>
    <t>23010000WLPJ-01 普通型平键</t>
  </si>
  <si>
    <t>WLPJ-02 薄型平键</t>
  </si>
  <si>
    <t>23020000WLPJ-02 薄型平键</t>
  </si>
  <si>
    <t>240000WLXD-销</t>
  </si>
  <si>
    <t>WLXD-01 开口销</t>
  </si>
  <si>
    <t>WLXD-销</t>
  </si>
  <si>
    <t>24000000WLXD-销</t>
  </si>
  <si>
    <t>24010000WLXD-01 开口销</t>
  </si>
  <si>
    <t>WLXD-02 无头销轴</t>
  </si>
  <si>
    <t>24020000WLXD-02 无头销轴</t>
  </si>
  <si>
    <t>WLXD-03 销轴</t>
  </si>
  <si>
    <t>24030000WLXD-03 销轴</t>
  </si>
  <si>
    <t>WLXD-04 圆柱销</t>
  </si>
  <si>
    <t>24040000WLXD-04 圆柱销</t>
  </si>
  <si>
    <t>WLXD-05 弹性圆柱销</t>
  </si>
  <si>
    <t>24050000WLXD-05 弹性圆柱销</t>
  </si>
  <si>
    <t>250000WRDP-垫片</t>
  </si>
  <si>
    <t>HGT20606-2009-钢制管法兰用非金属平垫片</t>
  </si>
  <si>
    <t>WRDP-垫片</t>
  </si>
  <si>
    <t>25000000WRDP-垫片</t>
  </si>
  <si>
    <t>25010000HGT20606-2009-钢制管法兰用非金属平垫片</t>
  </si>
  <si>
    <t>HGT20610-2009-钢制管法兰用缠绕式垫片</t>
  </si>
  <si>
    <t>25020000HGT20610-2009-钢制管法兰用缠绕式垫片</t>
  </si>
  <si>
    <t>260000WRFL-法兰</t>
  </si>
  <si>
    <t>HGT20592带颈平焊法兰</t>
  </si>
  <si>
    <t>WRFL-法兰</t>
  </si>
  <si>
    <t>26000000WRFL-法兰</t>
  </si>
  <si>
    <t>26010000HGT20592带颈平焊法兰</t>
  </si>
  <si>
    <t>HGT20592板式平焊法兰</t>
  </si>
  <si>
    <t>26020000HGT20592板式平焊法兰</t>
  </si>
  <si>
    <t>HGT20592法兰盖</t>
  </si>
  <si>
    <t>26030000HGT20592法兰盖</t>
  </si>
  <si>
    <t>270000WRGJ-管件</t>
  </si>
  <si>
    <t>01-等径三通接头GBT12459</t>
  </si>
  <si>
    <t>WRGJ-管件</t>
  </si>
  <si>
    <t>27000000WRGJ-管件</t>
  </si>
  <si>
    <t>27010000三通</t>
  </si>
  <si>
    <t>2701010001-等径三通接头GBT12459</t>
  </si>
  <si>
    <t>02-异径三通接头GBT12459</t>
  </si>
  <si>
    <t>2701020002-异径三通接头GBT12459</t>
  </si>
  <si>
    <t>01-等径四通接头GBT12459</t>
  </si>
  <si>
    <t>27020000四通</t>
  </si>
  <si>
    <t>2702010001-等径四通接头GBT12459</t>
  </si>
  <si>
    <t>02-异径四通接头GBT12459</t>
  </si>
  <si>
    <t>2702020002-异径四通接头GBT12459</t>
  </si>
  <si>
    <t>01-长半径45度弯头GBT12459</t>
  </si>
  <si>
    <t>27030000弯头</t>
  </si>
  <si>
    <t>2703010001-长半径45度弯头GBT12459</t>
  </si>
  <si>
    <t>02-长半径90度弯头GBT12459</t>
  </si>
  <si>
    <t>2703020002-长半径90度弯头GBT12459</t>
  </si>
  <si>
    <t>03-长半径180度弯头GBT12459</t>
  </si>
  <si>
    <t>2703030003-长半径180度弯头GBT12459</t>
  </si>
  <si>
    <t>04-短半径90度弯头GBT12459</t>
  </si>
  <si>
    <t>2703040004-短半径90度弯头GBT12459</t>
  </si>
  <si>
    <t>01-同心异径接头GBT12459</t>
  </si>
  <si>
    <t>27040000异径接头</t>
  </si>
  <si>
    <t>2704010001-同心异径接头GBT12459</t>
  </si>
  <si>
    <t>02-偏心异径接头GBT12459</t>
  </si>
  <si>
    <t>280000WZLZ-联轴器</t>
  </si>
  <si>
    <t>WZLZ-01 凸缘联轴器</t>
  </si>
  <si>
    <t>WZLZ-联轴器</t>
  </si>
  <si>
    <t>28000000WZLZ-联轴器</t>
  </si>
  <si>
    <t>28010000WZLZ-01 凸缘联轴器</t>
  </si>
  <si>
    <t>WZLZ-02 弹性柱销联轴器</t>
  </si>
  <si>
    <t>28020000WZLZ-02 弹性柱销联轴器</t>
  </si>
  <si>
    <t>WZLZ-06 鼓形齿式联轴器</t>
  </si>
  <si>
    <t>WZLZ-11 轮胎式联轴器</t>
  </si>
  <si>
    <t>WZLZ-13 梅花形弹性联轴器</t>
  </si>
  <si>
    <t>技术部交接目录清单</t>
  </si>
  <si>
    <t>属性表</t>
  </si>
  <si>
    <t>三维模型清单</t>
  </si>
  <si>
    <t>备注</t>
  </si>
  <si>
    <t>WCXG</t>
  </si>
  <si>
    <t>型钢分类属性表</t>
  </si>
  <si>
    <t>ASME</t>
  </si>
  <si>
    <t>法兰管件</t>
  </si>
  <si>
    <t>外购件总清单</t>
  </si>
  <si>
    <t>WCGG</t>
  </si>
  <si>
    <t>钢管分类属性表</t>
  </si>
  <si>
    <t>BEAR</t>
  </si>
  <si>
    <t>WLLS</t>
  </si>
  <si>
    <t>螺栓分类属性表</t>
  </si>
  <si>
    <t>CHAN</t>
  </si>
  <si>
    <t>WLLZ</t>
  </si>
  <si>
    <t>螺柱分类属性表</t>
  </si>
  <si>
    <t>GRBX</t>
  </si>
  <si>
    <t>WLLD</t>
  </si>
  <si>
    <t>螺钉分类属性表</t>
  </si>
  <si>
    <t>MORT</t>
  </si>
  <si>
    <t>WLLM</t>
  </si>
  <si>
    <t>螺母分类属性表</t>
  </si>
  <si>
    <t>SPRN</t>
  </si>
  <si>
    <t>WLDQ</t>
  </si>
  <si>
    <t>垫圈分类属性表</t>
  </si>
  <si>
    <t>WLDJ</t>
  </si>
  <si>
    <t>挡圈分类属性表</t>
  </si>
  <si>
    <t>WLMD</t>
  </si>
  <si>
    <t>铆钉分类属性表</t>
  </si>
  <si>
    <t>WLXD</t>
  </si>
  <si>
    <t>销分类属性表</t>
  </si>
  <si>
    <t>WLPJ</t>
  </si>
  <si>
    <t>键分类属性表</t>
  </si>
  <si>
    <t>法兰分类属性表</t>
  </si>
  <si>
    <t>垫片分类属性表</t>
  </si>
  <si>
    <t>管件分类属性表</t>
  </si>
  <si>
    <t>WRFL</t>
  </si>
  <si>
    <t>WRDP</t>
  </si>
  <si>
    <t>WRGJ</t>
  </si>
  <si>
    <t>减速机分类属性表</t>
  </si>
  <si>
    <t>减速箱(可带电机)分类属性表（备）</t>
  </si>
  <si>
    <t>WZLZ</t>
  </si>
  <si>
    <t>电机分类属性表</t>
  </si>
  <si>
    <t>分类属性表</t>
  </si>
  <si>
    <t>轴承附件分类属性表</t>
  </si>
  <si>
    <t>SEAT</t>
  </si>
  <si>
    <t>轴承座分类属性表</t>
  </si>
  <si>
    <t>SLID</t>
  </si>
  <si>
    <t>滑动轴承分类属性表</t>
  </si>
  <si>
    <t>WCGB</t>
  </si>
  <si>
    <t>钢板分类属性表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</si>
</sst>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4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8"/>
      <color theme="1"/>
      <name val="微软雅黑"/>
      <charset val="134"/>
    </font>
    <font>
      <sz val="14"/>
      <color theme="1"/>
      <name val="微软雅黑"/>
      <charset val="134"/>
    </font>
    <font>
      <sz val="11"/>
      <color theme="1"/>
      <name val="黑体"/>
      <charset val="134"/>
    </font>
    <font>
      <sz val="11"/>
      <color rgb="FF000000"/>
      <name val="黑体"/>
      <charset val="134"/>
    </font>
    <font>
      <sz val="14"/>
      <color theme="1"/>
      <name val="宋体"/>
      <charset val="134"/>
    </font>
    <font>
      <sz val="10.5"/>
      <color rgb="FF000000"/>
      <name val="微软雅黑"/>
      <charset val="134"/>
    </font>
    <font>
      <sz val="10.5"/>
      <color theme="1"/>
      <name val="微软雅黑"/>
      <charset val="134"/>
    </font>
    <font>
      <sz val="10.5"/>
      <color theme="1"/>
      <name val="黑体"/>
      <charset val="134"/>
    </font>
    <font>
      <sz val="10.5"/>
      <color rgb="FF000000"/>
      <name val="黑体"/>
      <charset val="134"/>
    </font>
    <font>
      <sz val="11"/>
      <color rgb="FFFF0000"/>
      <name val="微软雅黑"/>
      <charset val="134"/>
    </font>
    <font>
      <sz val="12"/>
      <color theme="1"/>
      <name val="微软雅黑"/>
      <charset val="134"/>
    </font>
    <font>
      <sz val="11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4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29" fillId="26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8" borderId="11" applyNumberFormat="0" applyFont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17" borderId="10" applyNumberFormat="0" applyAlignment="0" applyProtection="0">
      <alignment vertical="center"/>
    </xf>
    <xf numFmtId="0" fontId="32" fillId="17" borderId="14" applyNumberFormat="0" applyAlignment="0" applyProtection="0">
      <alignment vertical="center"/>
    </xf>
    <xf numFmtId="0" fontId="15" fillId="9" borderId="8" applyNumberFormat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22" fillId="14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51" applyFont="1" applyAlignment="1">
      <alignment horizontal="center" vertical="center"/>
    </xf>
    <xf numFmtId="0" fontId="1" fillId="0" borderId="0" xfId="51" applyFont="1" applyAlignment="1">
      <alignment horizontal="left" vertical="center"/>
    </xf>
    <xf numFmtId="0" fontId="2" fillId="0" borderId="0" xfId="51" applyFont="1" applyAlignment="1">
      <alignment horizontal="center" vertical="center"/>
    </xf>
    <xf numFmtId="0" fontId="3" fillId="0" borderId="0" xfId="51" applyFont="1" applyAlignment="1">
      <alignment horizontal="center" vertical="center"/>
    </xf>
    <xf numFmtId="0" fontId="1" fillId="2" borderId="0" xfId="51" applyFont="1" applyFill="1" applyAlignment="1">
      <alignment horizontal="center" vertical="center"/>
    </xf>
    <xf numFmtId="0" fontId="1" fillId="0" borderId="0" xfId="51" applyFont="1" applyAlignment="1">
      <alignment vertical="center"/>
    </xf>
    <xf numFmtId="49" fontId="1" fillId="0" borderId="0" xfId="51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53">
      <alignment vertical="center"/>
    </xf>
    <xf numFmtId="49" fontId="6" fillId="0" borderId="0" xfId="53" applyNumberFormat="1" applyFont="1" applyAlignment="1">
      <alignment horizontal="center" vertical="center"/>
    </xf>
    <xf numFmtId="49" fontId="6" fillId="3" borderId="0" xfId="53" applyNumberFormat="1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0" fillId="0" borderId="7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left" vertical="center"/>
    </xf>
    <xf numFmtId="0" fontId="9" fillId="0" borderId="7" xfId="0" applyFont="1" applyBorder="1" applyAlignment="1">
      <alignment horizontal="justify" vertical="center" wrapText="1"/>
    </xf>
    <xf numFmtId="0" fontId="9" fillId="0" borderId="6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left" vertical="center" wrapText="1"/>
    </xf>
    <xf numFmtId="0" fontId="1" fillId="0" borderId="0" xfId="40" applyFont="1" applyFill="1" applyAlignment="1">
      <alignment horizontal="center" vertical="center"/>
    </xf>
    <xf numFmtId="0" fontId="11" fillId="0" borderId="0" xfId="40" applyFont="1" applyAlignment="1">
      <alignment horizontal="center" vertical="center"/>
    </xf>
    <xf numFmtId="0" fontId="1" fillId="0" borderId="0" xfId="40" applyFont="1" applyAlignment="1">
      <alignment horizontal="center" vertical="center"/>
    </xf>
    <xf numFmtId="0" fontId="1" fillId="0" borderId="0" xfId="40" applyFont="1" applyAlignment="1">
      <alignment horizontal="left" vertical="center"/>
    </xf>
    <xf numFmtId="0" fontId="2" fillId="0" borderId="0" xfId="40" applyFont="1" applyAlignment="1">
      <alignment vertical="center"/>
    </xf>
    <xf numFmtId="0" fontId="1" fillId="0" borderId="1" xfId="40" applyFont="1" applyFill="1" applyBorder="1" applyAlignment="1">
      <alignment horizontal="center" vertical="center"/>
    </xf>
    <xf numFmtId="0" fontId="1" fillId="0" borderId="1" xfId="40" applyFont="1" applyBorder="1" applyAlignment="1">
      <alignment horizontal="center" vertical="center"/>
    </xf>
    <xf numFmtId="0" fontId="1" fillId="0" borderId="1" xfId="40" applyFont="1" applyBorder="1" applyAlignment="1">
      <alignment vertical="center"/>
    </xf>
    <xf numFmtId="0" fontId="1" fillId="0" borderId="1" xfId="40" applyFont="1" applyBorder="1" applyAlignment="1">
      <alignment horizontal="left" vertical="center"/>
    </xf>
    <xf numFmtId="0" fontId="1" fillId="0" borderId="3" xfId="40" applyFont="1" applyBorder="1" applyAlignment="1">
      <alignment horizontal="center" vertical="center"/>
    </xf>
    <xf numFmtId="0" fontId="1" fillId="0" borderId="3" xfId="40" applyFont="1" applyBorder="1" applyAlignment="1">
      <alignment vertical="center"/>
    </xf>
    <xf numFmtId="0" fontId="1" fillId="0" borderId="0" xfId="40" applyFont="1" applyFill="1" applyAlignment="1">
      <alignment horizontal="left" vertical="center"/>
    </xf>
    <xf numFmtId="0" fontId="1" fillId="0" borderId="0" xfId="40" applyFont="1" applyAlignment="1">
      <alignment vertical="center"/>
    </xf>
    <xf numFmtId="0" fontId="1" fillId="0" borderId="1" xfId="40" applyFont="1" applyFill="1" applyBorder="1" applyAlignment="1">
      <alignment horizontal="left" vertical="center"/>
    </xf>
    <xf numFmtId="0" fontId="12" fillId="0" borderId="1" xfId="0" applyFont="1" applyBorder="1" applyAlignment="1">
      <alignment horizontal="justify" vertical="center" wrapText="1"/>
    </xf>
    <xf numFmtId="0" fontId="13" fillId="0" borderId="1" xfId="40" applyFont="1" applyBorder="1" applyAlignment="1">
      <alignment horizontal="left" vertical="center"/>
    </xf>
    <xf numFmtId="0" fontId="13" fillId="0" borderId="1" xfId="40" applyFont="1" applyBorder="1" applyAlignment="1">
      <alignment horizontal="center" vertical="center"/>
    </xf>
    <xf numFmtId="0" fontId="11" fillId="0" borderId="1" xfId="40" applyFont="1" applyBorder="1" applyAlignment="1">
      <alignment horizontal="center" vertical="center"/>
    </xf>
    <xf numFmtId="0" fontId="1" fillId="3" borderId="1" xfId="40" applyFont="1" applyFill="1" applyBorder="1" applyAlignment="1">
      <alignment horizontal="left" vertical="center"/>
    </xf>
    <xf numFmtId="0" fontId="1" fillId="2" borderId="1" xfId="40" applyFont="1" applyFill="1" applyBorder="1" applyAlignment="1">
      <alignment horizontal="left" vertical="center"/>
    </xf>
    <xf numFmtId="0" fontId="1" fillId="2" borderId="1" xfId="40" applyFont="1" applyFill="1" applyBorder="1" applyAlignment="1">
      <alignment horizontal="center" vertical="center"/>
    </xf>
    <xf numFmtId="0" fontId="11" fillId="2" borderId="1" xfId="40" applyFont="1" applyFill="1" applyBorder="1" applyAlignment="1">
      <alignment horizontal="left" vertical="center"/>
    </xf>
    <xf numFmtId="0" fontId="11" fillId="2" borderId="1" xfId="40" applyFont="1" applyFill="1" applyBorder="1" applyAlignment="1">
      <alignment horizontal="center" vertical="center"/>
    </xf>
    <xf numFmtId="0" fontId="1" fillId="4" borderId="1" xfId="40" applyFont="1" applyFill="1" applyBorder="1" applyAlignment="1">
      <alignment horizontal="left" vertical="center"/>
    </xf>
    <xf numFmtId="0" fontId="11" fillId="0" borderId="1" xfId="40" applyFont="1" applyBorder="1" applyAlignment="1">
      <alignment horizontal="left" vertical="center"/>
    </xf>
    <xf numFmtId="0" fontId="1" fillId="4" borderId="1" xfId="40" applyFont="1" applyFill="1" applyBorder="1" applyAlignment="1">
      <alignment horizontal="center" vertical="center"/>
    </xf>
    <xf numFmtId="0" fontId="3" fillId="0" borderId="0" xfId="51" applyFont="1" applyAlignment="1">
      <alignment vertical="center"/>
    </xf>
  </cellXfs>
  <cellStyles count="5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常规 4" xfId="52"/>
    <cellStyle name="常规 5" xfId="53"/>
  </cellStyles>
  <dxfs count="1">
    <dxf>
      <font>
        <color theme="0"/>
      </font>
      <fill>
        <patternFill patternType="none"/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35"/>
  <sheetViews>
    <sheetView workbookViewId="0">
      <pane ySplit="3" topLeftCell="A4" activePane="bottomLeft" state="frozen"/>
      <selection/>
      <selection pane="bottomLeft" activeCell="U28" sqref="U28"/>
    </sheetView>
  </sheetViews>
  <sheetFormatPr defaultColWidth="9" defaultRowHeight="15.6"/>
  <cols>
    <col min="1" max="1" width="9" style="4"/>
    <col min="2" max="2" width="11.3333333333333" style="4" customWidth="1"/>
    <col min="3" max="3" width="5.66666666666667" style="4" customWidth="1"/>
    <col min="4" max="4" width="14.2222222222222" style="4" customWidth="1"/>
    <col min="5" max="5" width="5.66666666666667" style="4" customWidth="1"/>
    <col min="6" max="6" width="24.2222222222222" style="4" customWidth="1"/>
    <col min="7" max="7" width="5.66666666666667" style="4" customWidth="1"/>
    <col min="8" max="8" width="17.6666666666667" style="4" customWidth="1"/>
    <col min="9" max="9" width="8.44444444444444" style="4" customWidth="1"/>
    <col min="10" max="10" width="9" style="4" hidden="1" customWidth="1"/>
    <col min="11" max="11" width="12" style="4" hidden="1" customWidth="1"/>
    <col min="12" max="15" width="9" style="4" hidden="1" customWidth="1"/>
    <col min="16" max="16" width="6" style="4" hidden="1" customWidth="1"/>
    <col min="17" max="17" width="13.3333333333333" style="4" hidden="1" customWidth="1"/>
    <col min="18" max="19" width="9" style="4" hidden="1" customWidth="1"/>
    <col min="20" max="16384" width="9" style="4"/>
  </cols>
  <sheetData>
    <row r="1" ht="19.2" spans="2:19">
      <c r="B1" s="7">
        <v>4</v>
      </c>
      <c r="C1" s="7"/>
      <c r="D1" s="7"/>
      <c r="E1" s="7"/>
      <c r="F1" s="7"/>
      <c r="G1" s="7"/>
      <c r="H1" s="7"/>
      <c r="I1" s="7"/>
      <c r="J1" s="67">
        <v>5</v>
      </c>
      <c r="K1" s="67"/>
      <c r="L1" s="67"/>
      <c r="M1" s="67"/>
      <c r="N1" s="67"/>
      <c r="O1" s="7">
        <v>4</v>
      </c>
      <c r="P1" s="7"/>
      <c r="Q1" s="7"/>
      <c r="R1" s="7"/>
      <c r="S1" s="67"/>
    </row>
    <row r="2" ht="19.2" spans="2:20">
      <c r="B2" s="7">
        <v>1</v>
      </c>
      <c r="C2" s="7"/>
      <c r="D2" s="7">
        <v>2</v>
      </c>
      <c r="E2" s="7"/>
      <c r="F2" s="7">
        <v>3</v>
      </c>
      <c r="G2" s="7"/>
      <c r="H2" s="7">
        <v>4</v>
      </c>
      <c r="I2" s="7"/>
      <c r="J2" s="7">
        <v>1</v>
      </c>
      <c r="K2" s="7">
        <v>2</v>
      </c>
      <c r="L2" s="7">
        <v>3</v>
      </c>
      <c r="M2" s="7">
        <v>4</v>
      </c>
      <c r="N2" s="7">
        <v>5</v>
      </c>
      <c r="O2" s="7">
        <v>1</v>
      </c>
      <c r="P2" s="7"/>
      <c r="Q2" s="7" t="s">
        <v>0</v>
      </c>
      <c r="R2" s="7"/>
      <c r="S2" s="67"/>
      <c r="T2" s="67"/>
    </row>
    <row r="3" spans="2:20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T3" s="9"/>
    </row>
    <row r="4" spans="1:18">
      <c r="A4" s="4">
        <v>1</v>
      </c>
      <c r="B4" s="4" t="s">
        <v>1</v>
      </c>
      <c r="E4" s="4" t="s">
        <v>2</v>
      </c>
      <c r="F4" s="4" t="s">
        <v>3</v>
      </c>
      <c r="G4" s="4" t="s">
        <v>4</v>
      </c>
      <c r="H4" s="5" t="s">
        <v>5</v>
      </c>
      <c r="I4" s="4" t="s">
        <v>6</v>
      </c>
      <c r="J4" s="9" t="s">
        <v>7</v>
      </c>
      <c r="K4" s="9"/>
      <c r="L4" s="9"/>
      <c r="M4" s="9"/>
      <c r="N4" s="9"/>
      <c r="O4" s="5" t="s">
        <v>8</v>
      </c>
      <c r="P4" s="4">
        <v>1</v>
      </c>
      <c r="Q4" s="5" t="s">
        <v>9</v>
      </c>
      <c r="R4" s="4" t="s">
        <v>10</v>
      </c>
    </row>
    <row r="5" spans="1:18">
      <c r="A5" s="4">
        <v>2</v>
      </c>
      <c r="E5" s="4" t="s">
        <v>2</v>
      </c>
      <c r="G5" s="4" t="s">
        <v>4</v>
      </c>
      <c r="H5" s="5" t="s">
        <v>11</v>
      </c>
      <c r="I5" s="4" t="s">
        <v>12</v>
      </c>
      <c r="M5" s="9"/>
      <c r="N5" s="9"/>
      <c r="O5" s="5" t="s">
        <v>13</v>
      </c>
      <c r="P5" s="4">
        <v>2</v>
      </c>
      <c r="Q5" s="5" t="s">
        <v>14</v>
      </c>
      <c r="R5" s="4" t="s">
        <v>15</v>
      </c>
    </row>
    <row r="6" spans="1:18">
      <c r="A6" s="4">
        <v>3</v>
      </c>
      <c r="E6" s="4" t="s">
        <v>2</v>
      </c>
      <c r="G6" s="4" t="s">
        <v>4</v>
      </c>
      <c r="H6" s="5" t="s">
        <v>16</v>
      </c>
      <c r="I6" s="4" t="s">
        <v>17</v>
      </c>
      <c r="M6" s="9"/>
      <c r="N6" s="9"/>
      <c r="O6" s="5" t="s">
        <v>18</v>
      </c>
      <c r="P6" s="4">
        <v>3</v>
      </c>
      <c r="Q6" s="5" t="s">
        <v>19</v>
      </c>
      <c r="R6" s="4" t="s">
        <v>20</v>
      </c>
    </row>
    <row r="7" spans="1:18">
      <c r="A7" s="4">
        <v>4</v>
      </c>
      <c r="E7" s="4" t="s">
        <v>2</v>
      </c>
      <c r="G7" s="4" t="s">
        <v>4</v>
      </c>
      <c r="H7" s="5" t="s">
        <v>21</v>
      </c>
      <c r="I7" s="4" t="s">
        <v>22</v>
      </c>
      <c r="M7" s="9"/>
      <c r="N7" s="9"/>
      <c r="O7" s="5" t="s">
        <v>23</v>
      </c>
      <c r="P7" s="4">
        <v>4</v>
      </c>
      <c r="Q7" s="5" t="s">
        <v>24</v>
      </c>
      <c r="R7" s="4" t="s">
        <v>25</v>
      </c>
    </row>
    <row r="8" spans="1:18">
      <c r="A8" s="4">
        <v>5</v>
      </c>
      <c r="E8" s="4" t="s">
        <v>2</v>
      </c>
      <c r="G8" s="4" t="s">
        <v>4</v>
      </c>
      <c r="H8" s="5" t="s">
        <v>26</v>
      </c>
      <c r="I8" s="4" t="s">
        <v>27</v>
      </c>
      <c r="M8" s="9"/>
      <c r="N8" s="9"/>
      <c r="O8" s="5" t="s">
        <v>28</v>
      </c>
      <c r="P8" s="4">
        <v>5</v>
      </c>
      <c r="Q8" s="5" t="s">
        <v>29</v>
      </c>
      <c r="R8" s="4" t="s">
        <v>30</v>
      </c>
    </row>
    <row r="9" spans="1:18">
      <c r="A9" s="4">
        <v>6</v>
      </c>
      <c r="E9" s="4" t="s">
        <v>2</v>
      </c>
      <c r="F9" s="4" t="s">
        <v>31</v>
      </c>
      <c r="G9" s="4" t="s">
        <v>32</v>
      </c>
      <c r="H9" s="5" t="s">
        <v>33</v>
      </c>
      <c r="I9" s="4" t="s">
        <v>34</v>
      </c>
      <c r="M9" s="9"/>
      <c r="N9" s="9"/>
      <c r="O9" s="5" t="s">
        <v>35</v>
      </c>
      <c r="P9" s="4">
        <v>6</v>
      </c>
      <c r="Q9" s="5" t="s">
        <v>36</v>
      </c>
      <c r="R9" s="4" t="s">
        <v>37</v>
      </c>
    </row>
    <row r="10" spans="1:18">
      <c r="A10" s="4">
        <v>7</v>
      </c>
      <c r="E10" s="4" t="s">
        <v>2</v>
      </c>
      <c r="G10" s="4" t="s">
        <v>32</v>
      </c>
      <c r="H10" s="5" t="s">
        <v>38</v>
      </c>
      <c r="I10" s="4" t="s">
        <v>4</v>
      </c>
      <c r="M10" s="9"/>
      <c r="N10" s="9"/>
      <c r="Q10" s="5" t="s">
        <v>39</v>
      </c>
      <c r="R10" s="4" t="s">
        <v>40</v>
      </c>
    </row>
    <row r="11" spans="1:18">
      <c r="A11" s="4">
        <v>8</v>
      </c>
      <c r="E11" s="4" t="s">
        <v>2</v>
      </c>
      <c r="F11" s="4" t="s">
        <v>41</v>
      </c>
      <c r="G11" s="4" t="s">
        <v>42</v>
      </c>
      <c r="H11" s="5" t="s">
        <v>43</v>
      </c>
      <c r="I11" s="4" t="s">
        <v>44</v>
      </c>
      <c r="M11" s="9"/>
      <c r="N11" s="9"/>
      <c r="Q11" s="5" t="s">
        <v>45</v>
      </c>
      <c r="R11" s="4" t="s">
        <v>46</v>
      </c>
    </row>
    <row r="12" spans="1:18">
      <c r="A12" s="4">
        <v>9</v>
      </c>
      <c r="E12" s="4" t="s">
        <v>2</v>
      </c>
      <c r="G12" s="4" t="s">
        <v>42</v>
      </c>
      <c r="H12" s="5" t="s">
        <v>47</v>
      </c>
      <c r="I12" s="4" t="s">
        <v>48</v>
      </c>
      <c r="M12" s="9"/>
      <c r="N12" s="9"/>
      <c r="Q12" s="5" t="s">
        <v>49</v>
      </c>
      <c r="R12" s="4" t="s">
        <v>50</v>
      </c>
    </row>
    <row r="13" spans="1:18">
      <c r="A13" s="4">
        <v>10</v>
      </c>
      <c r="E13" s="4" t="s">
        <v>2</v>
      </c>
      <c r="G13" s="4" t="s">
        <v>42</v>
      </c>
      <c r="H13" s="5" t="s">
        <v>51</v>
      </c>
      <c r="I13" s="4" t="s">
        <v>32</v>
      </c>
      <c r="M13" s="9"/>
      <c r="N13" s="9"/>
      <c r="Q13" s="5" t="s">
        <v>52</v>
      </c>
      <c r="R13" s="4" t="s">
        <v>53</v>
      </c>
    </row>
    <row r="14" spans="1:18">
      <c r="A14" s="4">
        <v>11</v>
      </c>
      <c r="E14" s="4" t="s">
        <v>2</v>
      </c>
      <c r="G14" s="4" t="s">
        <v>42</v>
      </c>
      <c r="H14" s="5" t="s">
        <v>54</v>
      </c>
      <c r="I14" s="4" t="s">
        <v>55</v>
      </c>
      <c r="M14" s="9"/>
      <c r="N14" s="9"/>
      <c r="Q14" s="5" t="s">
        <v>56</v>
      </c>
      <c r="R14" s="4" t="s">
        <v>57</v>
      </c>
    </row>
    <row r="15" spans="1:18">
      <c r="A15" s="4">
        <v>12</v>
      </c>
      <c r="E15" s="4" t="s">
        <v>2</v>
      </c>
      <c r="G15" s="4" t="s">
        <v>42</v>
      </c>
      <c r="H15" s="5" t="s">
        <v>58</v>
      </c>
      <c r="I15" s="4" t="s">
        <v>42</v>
      </c>
      <c r="M15" s="9"/>
      <c r="N15" s="9"/>
      <c r="Q15" s="5" t="s">
        <v>59</v>
      </c>
      <c r="R15" s="4" t="s">
        <v>60</v>
      </c>
    </row>
    <row r="16" spans="1:18">
      <c r="A16" s="4">
        <v>13</v>
      </c>
      <c r="E16" s="4" t="s">
        <v>2</v>
      </c>
      <c r="G16" s="4" t="s">
        <v>42</v>
      </c>
      <c r="H16" s="5" t="s">
        <v>61</v>
      </c>
      <c r="I16" s="4" t="s">
        <v>62</v>
      </c>
      <c r="M16" s="9"/>
      <c r="N16" s="9"/>
      <c r="Q16" s="5" t="s">
        <v>63</v>
      </c>
      <c r="R16" s="4" t="s">
        <v>64</v>
      </c>
    </row>
    <row r="17" spans="1:18">
      <c r="A17" s="4">
        <v>14</v>
      </c>
      <c r="E17" s="4" t="s">
        <v>2</v>
      </c>
      <c r="G17" s="4" t="s">
        <v>42</v>
      </c>
      <c r="H17" s="5" t="s">
        <v>65</v>
      </c>
      <c r="I17" s="4" t="s">
        <v>66</v>
      </c>
      <c r="M17" s="9"/>
      <c r="N17" s="9"/>
      <c r="Q17" s="5" t="s">
        <v>67</v>
      </c>
      <c r="R17" s="4" t="s">
        <v>68</v>
      </c>
    </row>
    <row r="18" spans="1:18">
      <c r="A18" s="4">
        <v>15</v>
      </c>
      <c r="E18" s="4" t="s">
        <v>2</v>
      </c>
      <c r="G18" s="4" t="s">
        <v>42</v>
      </c>
      <c r="H18" s="5" t="s">
        <v>69</v>
      </c>
      <c r="I18" s="4" t="s">
        <v>70</v>
      </c>
      <c r="M18" s="9"/>
      <c r="N18" s="9"/>
      <c r="Q18" s="5" t="s">
        <v>71</v>
      </c>
      <c r="R18" s="4" t="s">
        <v>72</v>
      </c>
    </row>
    <row r="19" spans="1:18">
      <c r="A19" s="4">
        <v>16</v>
      </c>
      <c r="E19" s="4" t="s">
        <v>2</v>
      </c>
      <c r="G19" s="4" t="s">
        <v>42</v>
      </c>
      <c r="H19" s="5" t="s">
        <v>73</v>
      </c>
      <c r="I19" s="4" t="s">
        <v>74</v>
      </c>
      <c r="M19" s="9"/>
      <c r="N19" s="9"/>
      <c r="Q19" s="5" t="s">
        <v>75</v>
      </c>
      <c r="R19" s="4" t="s">
        <v>76</v>
      </c>
    </row>
    <row r="20" spans="1:18">
      <c r="A20" s="4">
        <v>17</v>
      </c>
      <c r="E20" s="4" t="s">
        <v>2</v>
      </c>
      <c r="G20" s="4" t="s">
        <v>42</v>
      </c>
      <c r="H20" s="5" t="s">
        <v>77</v>
      </c>
      <c r="I20" s="4" t="s">
        <v>78</v>
      </c>
      <c r="M20" s="9"/>
      <c r="N20" s="9"/>
      <c r="Q20" s="5" t="s">
        <v>79</v>
      </c>
      <c r="R20" s="4" t="s">
        <v>80</v>
      </c>
    </row>
    <row r="21" spans="1:18">
      <c r="A21" s="4">
        <v>18</v>
      </c>
      <c r="E21" s="4" t="s">
        <v>2</v>
      </c>
      <c r="G21" s="4" t="s">
        <v>42</v>
      </c>
      <c r="H21" s="5" t="s">
        <v>81</v>
      </c>
      <c r="I21" s="4" t="s">
        <v>82</v>
      </c>
      <c r="M21" s="9"/>
      <c r="N21" s="9"/>
      <c r="Q21" s="5" t="s">
        <v>83</v>
      </c>
      <c r="R21" s="4" t="s">
        <v>84</v>
      </c>
    </row>
    <row r="22" spans="1:18">
      <c r="A22" s="4">
        <v>19</v>
      </c>
      <c r="E22" s="4" t="s">
        <v>2</v>
      </c>
      <c r="G22" s="4" t="s">
        <v>42</v>
      </c>
      <c r="H22" s="5" t="s">
        <v>85</v>
      </c>
      <c r="I22" s="4" t="s">
        <v>86</v>
      </c>
      <c r="M22" s="9"/>
      <c r="N22" s="9"/>
      <c r="Q22" s="5" t="s">
        <v>87</v>
      </c>
      <c r="R22" s="4" t="s">
        <v>88</v>
      </c>
    </row>
    <row r="23" spans="1:18">
      <c r="A23" s="4">
        <v>20</v>
      </c>
      <c r="E23" s="4" t="s">
        <v>2</v>
      </c>
      <c r="F23" s="4" t="s">
        <v>28</v>
      </c>
      <c r="G23" s="4" t="s">
        <v>62</v>
      </c>
      <c r="H23" s="5" t="s">
        <v>28</v>
      </c>
      <c r="I23" s="4" t="s">
        <v>89</v>
      </c>
      <c r="M23" s="9"/>
      <c r="N23" s="9"/>
      <c r="Q23" s="5" t="s">
        <v>90</v>
      </c>
      <c r="R23" s="4" t="s">
        <v>91</v>
      </c>
    </row>
    <row r="24" spans="1:18">
      <c r="A24" s="4">
        <v>21</v>
      </c>
      <c r="E24" s="4" t="s">
        <v>2</v>
      </c>
      <c r="F24" s="4" t="s">
        <v>35</v>
      </c>
      <c r="G24" s="4" t="s">
        <v>70</v>
      </c>
      <c r="H24" s="5" t="s">
        <v>35</v>
      </c>
      <c r="I24" s="4" t="s">
        <v>92</v>
      </c>
      <c r="M24" s="9"/>
      <c r="N24" s="9"/>
      <c r="Q24" s="5" t="s">
        <v>93</v>
      </c>
      <c r="R24" s="4" t="s">
        <v>94</v>
      </c>
    </row>
    <row r="25" spans="1:18">
      <c r="A25" s="4">
        <v>22</v>
      </c>
      <c r="E25" s="4" t="s">
        <v>2</v>
      </c>
      <c r="F25" s="4" t="s">
        <v>95</v>
      </c>
      <c r="G25" s="4" t="s">
        <v>74</v>
      </c>
      <c r="H25" s="5" t="s">
        <v>96</v>
      </c>
      <c r="I25" s="4" t="s">
        <v>97</v>
      </c>
      <c r="M25" s="9"/>
      <c r="N25" s="9"/>
      <c r="Q25" s="5" t="s">
        <v>98</v>
      </c>
      <c r="R25" s="4" t="s">
        <v>99</v>
      </c>
    </row>
    <row r="26" spans="1:18">
      <c r="A26" s="4">
        <v>23</v>
      </c>
      <c r="E26" s="4" t="s">
        <v>2</v>
      </c>
      <c r="G26" s="4" t="s">
        <v>74</v>
      </c>
      <c r="H26" s="5" t="s">
        <v>100</v>
      </c>
      <c r="I26" s="4" t="s">
        <v>101</v>
      </c>
      <c r="M26" s="9"/>
      <c r="N26" s="9"/>
      <c r="Q26" s="5" t="s">
        <v>102</v>
      </c>
      <c r="R26" s="4" t="s">
        <v>103</v>
      </c>
    </row>
    <row r="27" spans="1:18">
      <c r="A27" s="4">
        <v>24</v>
      </c>
      <c r="E27" s="4" t="s">
        <v>2</v>
      </c>
      <c r="G27" s="4" t="s">
        <v>74</v>
      </c>
      <c r="H27" s="5" t="s">
        <v>23</v>
      </c>
      <c r="I27" s="4" t="s">
        <v>104</v>
      </c>
      <c r="M27" s="9"/>
      <c r="N27" s="9"/>
      <c r="Q27" s="5" t="s">
        <v>105</v>
      </c>
      <c r="R27" s="4" t="s">
        <v>106</v>
      </c>
    </row>
    <row r="28" spans="1:18">
      <c r="A28" s="4">
        <v>25</v>
      </c>
      <c r="B28" s="9" t="s">
        <v>107</v>
      </c>
      <c r="C28" s="4" t="s">
        <v>104</v>
      </c>
      <c r="D28" s="5" t="s">
        <v>108</v>
      </c>
      <c r="E28" s="4" t="s">
        <v>6</v>
      </c>
      <c r="F28" s="4" t="s">
        <v>109</v>
      </c>
      <c r="G28" s="4" t="s">
        <v>110</v>
      </c>
      <c r="Q28" s="5" t="s">
        <v>111</v>
      </c>
      <c r="R28" s="4" t="s">
        <v>112</v>
      </c>
    </row>
    <row r="29" spans="1:14">
      <c r="A29" s="4">
        <v>26</v>
      </c>
      <c r="C29" s="4" t="s">
        <v>104</v>
      </c>
      <c r="D29" s="5" t="s">
        <v>113</v>
      </c>
      <c r="E29" s="4" t="s">
        <v>12</v>
      </c>
      <c r="G29" s="4" t="s">
        <v>114</v>
      </c>
      <c r="M29" s="5"/>
      <c r="N29" s="9"/>
    </row>
    <row r="30" spans="1:14">
      <c r="A30" s="4">
        <v>27</v>
      </c>
      <c r="C30" s="4" t="s">
        <v>104</v>
      </c>
      <c r="D30" s="5" t="s">
        <v>115</v>
      </c>
      <c r="E30" s="4" t="s">
        <v>17</v>
      </c>
      <c r="G30" s="4" t="s">
        <v>116</v>
      </c>
      <c r="M30" s="5"/>
      <c r="N30" s="9"/>
    </row>
    <row r="31" spans="1:14">
      <c r="A31" s="4">
        <v>28</v>
      </c>
      <c r="C31" s="4" t="s">
        <v>104</v>
      </c>
      <c r="D31" s="5" t="s">
        <v>117</v>
      </c>
      <c r="E31" s="4" t="s">
        <v>22</v>
      </c>
      <c r="G31" s="4" t="s">
        <v>118</v>
      </c>
      <c r="M31" s="5"/>
      <c r="N31" s="9"/>
    </row>
    <row r="32" spans="1:6">
      <c r="A32" s="4">
        <v>164</v>
      </c>
      <c r="B32" s="5" t="s">
        <v>119</v>
      </c>
      <c r="C32" s="4" t="s">
        <v>104</v>
      </c>
      <c r="E32" s="4" t="s">
        <v>74</v>
      </c>
      <c r="F32" s="5"/>
    </row>
    <row r="33" spans="1:6">
      <c r="A33" s="4">
        <v>165</v>
      </c>
      <c r="B33" s="5" t="s">
        <v>120</v>
      </c>
      <c r="C33" s="4" t="s">
        <v>104</v>
      </c>
      <c r="F33" s="5"/>
    </row>
    <row r="34" spans="1:3">
      <c r="A34" s="4">
        <v>166</v>
      </c>
      <c r="B34" s="5" t="s">
        <v>121</v>
      </c>
      <c r="C34" s="4" t="s">
        <v>122</v>
      </c>
    </row>
    <row r="35" spans="1:3">
      <c r="A35" s="4">
        <v>167</v>
      </c>
      <c r="B35" s="5" t="s">
        <v>123</v>
      </c>
      <c r="C35" s="4" t="s">
        <v>122</v>
      </c>
    </row>
  </sheetData>
  <autoFilter ref="A3:I35">
    <extLst/>
  </autoFilter>
  <mergeCells count="9">
    <mergeCell ref="B1:I1"/>
    <mergeCell ref="O1:R1"/>
    <mergeCell ref="B2:C2"/>
    <mergeCell ref="D2:E2"/>
    <mergeCell ref="F2:G2"/>
    <mergeCell ref="H2:I2"/>
    <mergeCell ref="O2:P2"/>
    <mergeCell ref="Q2:R2"/>
    <mergeCell ref="B4:D4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931"/>
  <sheetViews>
    <sheetView tabSelected="1" workbookViewId="0">
      <pane ySplit="2" topLeftCell="A358" activePane="bottomLeft" state="frozen"/>
      <selection/>
      <selection pane="bottomLeft" activeCell="G370" sqref="G370"/>
    </sheetView>
  </sheetViews>
  <sheetFormatPr defaultColWidth="9" defaultRowHeight="15.6"/>
  <cols>
    <col min="1" max="1" width="10.2222222222222" style="43" customWidth="1"/>
    <col min="2" max="2" width="12" style="43" customWidth="1"/>
    <col min="3" max="3" width="11.3333333333333" style="43" customWidth="1"/>
    <col min="4" max="4" width="9.33333333333333" style="43" customWidth="1"/>
    <col min="5" max="5" width="14.2222222222222" style="44" customWidth="1"/>
    <col min="6" max="6" width="30.4444444444444" style="44" customWidth="1"/>
    <col min="7" max="7" width="21" style="44" customWidth="1"/>
    <col min="8" max="8" width="12.2222222222222" style="43" customWidth="1"/>
    <col min="9" max="9" width="10" style="43" customWidth="1"/>
    <col min="10" max="10" width="38.6666666666667" style="44" customWidth="1"/>
    <col min="11" max="11" width="11.1111111111111" style="43" customWidth="1"/>
    <col min="12" max="16384" width="9" style="43"/>
  </cols>
  <sheetData>
    <row r="1" ht="24.6" spans="1:11">
      <c r="A1" s="45" t="s">
        <v>124</v>
      </c>
      <c r="B1" s="45"/>
      <c r="C1" s="45"/>
      <c r="D1" s="45"/>
      <c r="E1" s="45"/>
      <c r="F1" s="45"/>
      <c r="G1" s="45"/>
      <c r="H1" s="45"/>
      <c r="J1" s="52"/>
      <c r="K1" s="53"/>
    </row>
    <row r="2" s="41" customFormat="1" spans="1:11">
      <c r="A2" s="41" t="s">
        <v>125</v>
      </c>
      <c r="B2" s="41" t="s">
        <v>126</v>
      </c>
      <c r="C2" s="46" t="s">
        <v>127</v>
      </c>
      <c r="D2" s="46" t="s">
        <v>128</v>
      </c>
      <c r="E2" s="46" t="s">
        <v>129</v>
      </c>
      <c r="F2" s="46" t="s">
        <v>130</v>
      </c>
      <c r="G2" s="46"/>
      <c r="H2" s="46" t="s">
        <v>131</v>
      </c>
      <c r="J2" s="52"/>
      <c r="K2" s="41" t="s">
        <v>132</v>
      </c>
    </row>
    <row r="3" spans="1:11">
      <c r="A3" s="47">
        <v>1</v>
      </c>
      <c r="B3" s="47">
        <f>IF(K3=1,COUNTIF($D$2:D3,D3),"")</f>
        <v>1</v>
      </c>
      <c r="C3" s="48" t="s">
        <v>1</v>
      </c>
      <c r="D3" s="47" t="s">
        <v>82</v>
      </c>
      <c r="E3" s="49" t="s">
        <v>133</v>
      </c>
      <c r="F3" s="47"/>
      <c r="G3" s="49" t="s">
        <v>5</v>
      </c>
      <c r="H3" s="47" t="s">
        <v>134</v>
      </c>
      <c r="I3" s="43" t="str">
        <f t="shared" ref="I3:I68" si="0">IF(COUNTA(C3)=1,C3,I2)</f>
        <v>原材料</v>
      </c>
      <c r="J3" s="44" t="str">
        <f t="shared" ref="J3:J60" si="1">CONCATENATE(I3," ",G3)</f>
        <v>原材料 钢板</v>
      </c>
      <c r="K3" s="43">
        <f>COUNTIF($J$2:J3,J3)</f>
        <v>1</v>
      </c>
    </row>
    <row r="4" spans="1:11">
      <c r="A4" s="47">
        <v>2</v>
      </c>
      <c r="B4" s="47">
        <f>IF(K4=1,COUNTIF($D$2:D4,D4),"")</f>
        <v>2</v>
      </c>
      <c r="C4" s="47"/>
      <c r="D4" s="47" t="s">
        <v>82</v>
      </c>
      <c r="E4" s="49"/>
      <c r="F4" s="47"/>
      <c r="G4" s="49" t="s">
        <v>11</v>
      </c>
      <c r="H4" s="47" t="s">
        <v>135</v>
      </c>
      <c r="I4" s="43" t="str">
        <f t="shared" si="0"/>
        <v>原材料</v>
      </c>
      <c r="J4" s="44" t="str">
        <f t="shared" si="1"/>
        <v>原材料 彩涂板</v>
      </c>
      <c r="K4" s="43">
        <f>COUNTIF($J$2:J4,J4)</f>
        <v>1</v>
      </c>
    </row>
    <row r="5" spans="1:11">
      <c r="A5" s="47">
        <v>3</v>
      </c>
      <c r="B5" s="47">
        <f>IF(K5=1,COUNTIF($D$2:D5,D5),"")</f>
        <v>3</v>
      </c>
      <c r="C5" s="47"/>
      <c r="D5" s="47" t="s">
        <v>82</v>
      </c>
      <c r="E5" s="49"/>
      <c r="F5" s="47"/>
      <c r="G5" s="49" t="s">
        <v>16</v>
      </c>
      <c r="H5" s="47" t="s">
        <v>136</v>
      </c>
      <c r="I5" s="43" t="str">
        <f t="shared" si="0"/>
        <v>原材料</v>
      </c>
      <c r="J5" s="44" t="str">
        <f t="shared" si="1"/>
        <v>原材料 压型板</v>
      </c>
      <c r="K5" s="43">
        <f>COUNTIF($J$2:J5,J5)</f>
        <v>1</v>
      </c>
    </row>
    <row r="6" spans="1:11">
      <c r="A6" s="47">
        <v>4</v>
      </c>
      <c r="B6" s="47">
        <f>IF(K6=1,COUNTIF($D$2:D6,D6),"")</f>
        <v>4</v>
      </c>
      <c r="C6" s="47"/>
      <c r="D6" s="47" t="s">
        <v>82</v>
      </c>
      <c r="E6" s="49"/>
      <c r="F6" s="47"/>
      <c r="G6" s="49" t="s">
        <v>21</v>
      </c>
      <c r="H6" s="47" t="s">
        <v>137</v>
      </c>
      <c r="I6" s="43" t="str">
        <f t="shared" si="0"/>
        <v>原材料</v>
      </c>
      <c r="J6" s="44" t="str">
        <f t="shared" si="1"/>
        <v>原材料 彩涂夹芯板</v>
      </c>
      <c r="K6" s="43">
        <f>COUNTIF($J$2:J6,J6)</f>
        <v>1</v>
      </c>
    </row>
    <row r="7" spans="1:11">
      <c r="A7" s="47">
        <v>5</v>
      </c>
      <c r="B7" s="47">
        <f>IF(K7=1,COUNTIF($D$2:D7,D7),"")</f>
        <v>5</v>
      </c>
      <c r="C7" s="47"/>
      <c r="D7" s="47" t="s">
        <v>82</v>
      </c>
      <c r="E7" s="49"/>
      <c r="F7" s="47"/>
      <c r="G7" s="49" t="s">
        <v>26</v>
      </c>
      <c r="H7" s="47" t="s">
        <v>138</v>
      </c>
      <c r="I7" s="43" t="str">
        <f t="shared" si="0"/>
        <v>原材料</v>
      </c>
      <c r="J7" s="44" t="str">
        <f t="shared" si="1"/>
        <v>原材料 压型夹芯板</v>
      </c>
      <c r="K7" s="43">
        <f>COUNTIF($J$2:J7,J7)</f>
        <v>1</v>
      </c>
    </row>
    <row r="8" spans="1:11">
      <c r="A8" s="47">
        <v>6</v>
      </c>
      <c r="B8" s="47">
        <f>IF(K8=1,COUNTIF($D$2:D8,D8),"")</f>
        <v>6</v>
      </c>
      <c r="C8" s="47"/>
      <c r="D8" s="47" t="s">
        <v>82</v>
      </c>
      <c r="E8" s="49"/>
      <c r="F8" s="47"/>
      <c r="G8" s="49" t="s">
        <v>139</v>
      </c>
      <c r="H8" s="47" t="s">
        <v>140</v>
      </c>
      <c r="I8" s="43" t="str">
        <f t="shared" si="0"/>
        <v>原材料</v>
      </c>
      <c r="J8" s="44" t="str">
        <f t="shared" si="1"/>
        <v>原材料 花纹钢板</v>
      </c>
      <c r="K8" s="43">
        <f>COUNTIF($J$2:J8,J8)</f>
        <v>1</v>
      </c>
    </row>
    <row r="9" spans="1:11">
      <c r="A9" s="47">
        <v>7</v>
      </c>
      <c r="B9" s="47">
        <f>IF(K9=1,COUNTIF($D$2:D9,D9),"")</f>
        <v>7</v>
      </c>
      <c r="C9" s="47"/>
      <c r="D9" s="47" t="s">
        <v>82</v>
      </c>
      <c r="E9" s="49"/>
      <c r="F9" s="47"/>
      <c r="G9" s="49" t="s">
        <v>141</v>
      </c>
      <c r="H9" s="47" t="s">
        <v>142</v>
      </c>
      <c r="I9" s="43" t="str">
        <f t="shared" si="0"/>
        <v>原材料</v>
      </c>
      <c r="J9" s="44" t="str">
        <f t="shared" si="1"/>
        <v>原材料 圆钢板</v>
      </c>
      <c r="K9" s="43">
        <f>COUNTIF($J$2:J9,J9)</f>
        <v>1</v>
      </c>
    </row>
    <row r="10" spans="1:11">
      <c r="A10" s="47">
        <v>8</v>
      </c>
      <c r="B10" s="47">
        <f>IF(K10=1,COUNTIF($D$2:D10,D10),"")</f>
        <v>8</v>
      </c>
      <c r="C10" s="47"/>
      <c r="D10" s="47" t="s">
        <v>82</v>
      </c>
      <c r="E10" s="49" t="s">
        <v>31</v>
      </c>
      <c r="F10" s="47"/>
      <c r="G10" s="49" t="s">
        <v>33</v>
      </c>
      <c r="H10" s="47" t="s">
        <v>143</v>
      </c>
      <c r="I10" s="43" t="str">
        <f t="shared" si="0"/>
        <v>原材料</v>
      </c>
      <c r="J10" s="44" t="str">
        <f t="shared" si="1"/>
        <v>原材料 焊管</v>
      </c>
      <c r="K10" s="43">
        <f>COUNTIF($J$2:J10,J10)</f>
        <v>1</v>
      </c>
    </row>
    <row r="11" spans="1:11">
      <c r="A11" s="47">
        <v>9</v>
      </c>
      <c r="B11" s="47">
        <f>IF(K11=1,COUNTIF($D$2:D11,D11),"")</f>
        <v>9</v>
      </c>
      <c r="C11" s="47"/>
      <c r="D11" s="47" t="s">
        <v>82</v>
      </c>
      <c r="E11" s="49"/>
      <c r="F11" s="47"/>
      <c r="G11" s="49" t="s">
        <v>38</v>
      </c>
      <c r="H11" s="47" t="s">
        <v>144</v>
      </c>
      <c r="I11" s="43" t="str">
        <f t="shared" si="0"/>
        <v>原材料</v>
      </c>
      <c r="J11" s="44" t="str">
        <f t="shared" si="1"/>
        <v>原材料 无缝管</v>
      </c>
      <c r="K11" s="43">
        <f>COUNTIF($J$2:J11,J11)</f>
        <v>1</v>
      </c>
    </row>
    <row r="12" spans="1:11">
      <c r="A12" s="47">
        <v>10</v>
      </c>
      <c r="B12" s="47">
        <f>IF(K12=1,COUNTIF($D$2:D12,D12),"")</f>
        <v>10</v>
      </c>
      <c r="C12" s="47"/>
      <c r="D12" s="47" t="s">
        <v>82</v>
      </c>
      <c r="E12" s="49"/>
      <c r="F12" s="47"/>
      <c r="G12" s="49" t="s">
        <v>145</v>
      </c>
      <c r="H12" s="47" t="s">
        <v>146</v>
      </c>
      <c r="I12" s="43" t="str">
        <f t="shared" ref="I12:I14" si="2">IF(COUNTA(C12)=1,C12,I11)</f>
        <v>原材料</v>
      </c>
      <c r="J12" s="44" t="str">
        <f t="shared" si="1"/>
        <v>原材料 定尺焊管</v>
      </c>
      <c r="K12" s="43">
        <f>COUNTIF($J$2:J12,J12)</f>
        <v>1</v>
      </c>
    </row>
    <row r="13" spans="1:11">
      <c r="A13" s="47">
        <v>11</v>
      </c>
      <c r="B13" s="47">
        <f>IF(K13=1,COUNTIF($D$2:D13,D13),"")</f>
        <v>11</v>
      </c>
      <c r="C13" s="47"/>
      <c r="D13" s="47" t="s">
        <v>82</v>
      </c>
      <c r="E13" s="49"/>
      <c r="F13" s="47"/>
      <c r="G13" s="49" t="s">
        <v>147</v>
      </c>
      <c r="H13" s="47" t="s">
        <v>148</v>
      </c>
      <c r="I13" s="43" t="str">
        <f t="shared" si="2"/>
        <v>原材料</v>
      </c>
      <c r="J13" s="44" t="str">
        <f t="shared" si="1"/>
        <v>原材料 定尺无缝管</v>
      </c>
      <c r="K13" s="43">
        <f>COUNTIF($J$2:J13,J13)</f>
        <v>1</v>
      </c>
    </row>
    <row r="14" spans="1:11">
      <c r="A14" s="47">
        <v>12</v>
      </c>
      <c r="B14" s="47">
        <f>IF(K14=1,COUNTIF($D$2:D14,D14),"")</f>
        <v>12</v>
      </c>
      <c r="C14" s="47"/>
      <c r="D14" s="47" t="s">
        <v>82</v>
      </c>
      <c r="E14" s="49" t="s">
        <v>41</v>
      </c>
      <c r="F14" s="47"/>
      <c r="G14" s="49" t="s">
        <v>43</v>
      </c>
      <c r="H14" s="47" t="s">
        <v>149</v>
      </c>
      <c r="I14" s="43" t="str">
        <f t="shared" si="2"/>
        <v>原材料</v>
      </c>
      <c r="J14" s="44" t="str">
        <f t="shared" si="1"/>
        <v>原材料 圆钢</v>
      </c>
      <c r="K14" s="43">
        <f>COUNTIF($J$2:J14,J14)</f>
        <v>1</v>
      </c>
    </row>
    <row r="15" spans="1:11">
      <c r="A15" s="47">
        <v>13</v>
      </c>
      <c r="B15" s="47">
        <f>IF(K15=1,COUNTIF($D$2:D15,D15),"")</f>
        <v>13</v>
      </c>
      <c r="C15" s="47"/>
      <c r="D15" s="47" t="s">
        <v>82</v>
      </c>
      <c r="E15" s="49"/>
      <c r="F15" s="47"/>
      <c r="G15" s="49" t="s">
        <v>47</v>
      </c>
      <c r="H15" s="47" t="s">
        <v>150</v>
      </c>
      <c r="I15" s="43" t="str">
        <f t="shared" si="0"/>
        <v>原材料</v>
      </c>
      <c r="J15" s="44" t="str">
        <f t="shared" si="1"/>
        <v>原材料 扁钢</v>
      </c>
      <c r="K15" s="43">
        <f>COUNTIF($J$2:J15,J15)</f>
        <v>1</v>
      </c>
    </row>
    <row r="16" spans="1:11">
      <c r="A16" s="47">
        <v>14</v>
      </c>
      <c r="B16" s="47">
        <f>IF(K16=1,COUNTIF($D$2:D16,D16),"")</f>
        <v>14</v>
      </c>
      <c r="C16" s="47"/>
      <c r="D16" s="47" t="s">
        <v>82</v>
      </c>
      <c r="E16" s="49"/>
      <c r="F16" s="47"/>
      <c r="G16" s="49" t="s">
        <v>51</v>
      </c>
      <c r="H16" s="47" t="s">
        <v>151</v>
      </c>
      <c r="I16" s="43" t="str">
        <f t="shared" si="0"/>
        <v>原材料</v>
      </c>
      <c r="J16" s="44" t="str">
        <f t="shared" si="1"/>
        <v>原材料 六角钢</v>
      </c>
      <c r="K16" s="43">
        <f>COUNTIF($J$2:J16,J16)</f>
        <v>1</v>
      </c>
    </row>
    <row r="17" spans="1:11">
      <c r="A17" s="47">
        <v>15</v>
      </c>
      <c r="B17" s="47">
        <f>IF(K17=1,COUNTIF($D$2:D17,D17),"")</f>
        <v>15</v>
      </c>
      <c r="C17" s="47"/>
      <c r="D17" s="47" t="s">
        <v>82</v>
      </c>
      <c r="E17" s="49"/>
      <c r="F17" s="47"/>
      <c r="G17" s="49" t="s">
        <v>54</v>
      </c>
      <c r="H17" s="47" t="s">
        <v>152</v>
      </c>
      <c r="I17" s="43" t="str">
        <f t="shared" si="0"/>
        <v>原材料</v>
      </c>
      <c r="J17" s="44" t="str">
        <f t="shared" si="1"/>
        <v>原材料 方钢</v>
      </c>
      <c r="K17" s="43">
        <f>COUNTIF($J$2:J17,J17)</f>
        <v>1</v>
      </c>
    </row>
    <row r="18" spans="1:11">
      <c r="A18" s="47">
        <v>16</v>
      </c>
      <c r="B18" s="47">
        <f>IF(K18=1,COUNTIF($D$2:D18,D18),"")</f>
        <v>16</v>
      </c>
      <c r="C18" s="47"/>
      <c r="D18" s="47" t="s">
        <v>82</v>
      </c>
      <c r="E18" s="49"/>
      <c r="F18" s="47"/>
      <c r="G18" s="49" t="s">
        <v>58</v>
      </c>
      <c r="H18" s="47" t="s">
        <v>153</v>
      </c>
      <c r="I18" s="43" t="str">
        <f t="shared" si="0"/>
        <v>原材料</v>
      </c>
      <c r="J18" s="44" t="str">
        <f t="shared" si="1"/>
        <v>原材料 角钢</v>
      </c>
      <c r="K18" s="43">
        <f>COUNTIF($J$2:J18,J18)</f>
        <v>1</v>
      </c>
    </row>
    <row r="19" spans="1:11">
      <c r="A19" s="47">
        <v>17</v>
      </c>
      <c r="B19" s="47">
        <f>IF(K19=1,COUNTIF($D$2:D19,D19),"")</f>
        <v>17</v>
      </c>
      <c r="C19" s="47"/>
      <c r="D19" s="47" t="s">
        <v>82</v>
      </c>
      <c r="E19" s="49"/>
      <c r="F19" s="47"/>
      <c r="G19" s="49" t="s">
        <v>61</v>
      </c>
      <c r="H19" s="47" t="s">
        <v>154</v>
      </c>
      <c r="I19" s="43" t="str">
        <f t="shared" si="0"/>
        <v>原材料</v>
      </c>
      <c r="J19" s="44" t="str">
        <f t="shared" si="1"/>
        <v>原材料 槽钢</v>
      </c>
      <c r="K19" s="43">
        <f>COUNTIF($J$2:J19,J19)</f>
        <v>1</v>
      </c>
    </row>
    <row r="20" spans="1:11">
      <c r="A20" s="47">
        <v>18</v>
      </c>
      <c r="B20" s="47">
        <f>IF(K20=1,COUNTIF($D$2:D20,D20),"")</f>
        <v>18</v>
      </c>
      <c r="C20" s="47"/>
      <c r="D20" s="47" t="s">
        <v>82</v>
      </c>
      <c r="E20" s="49"/>
      <c r="F20" s="47"/>
      <c r="G20" s="49" t="s">
        <v>65</v>
      </c>
      <c r="H20" s="47" t="s">
        <v>155</v>
      </c>
      <c r="I20" s="43" t="str">
        <f t="shared" si="0"/>
        <v>原材料</v>
      </c>
      <c r="J20" s="44" t="str">
        <f t="shared" si="1"/>
        <v>原材料 方形钢管</v>
      </c>
      <c r="K20" s="43">
        <f>COUNTIF($J$2:J20,J20)</f>
        <v>1</v>
      </c>
    </row>
    <row r="21" spans="1:11">
      <c r="A21" s="47">
        <v>19</v>
      </c>
      <c r="B21" s="47">
        <f>IF(K21=1,COUNTIF($D$2:D21,D21),"")</f>
        <v>19</v>
      </c>
      <c r="C21" s="47"/>
      <c r="D21" s="47" t="s">
        <v>82</v>
      </c>
      <c r="E21" s="49"/>
      <c r="F21" s="47"/>
      <c r="G21" s="49" t="s">
        <v>69</v>
      </c>
      <c r="H21" s="47" t="s">
        <v>156</v>
      </c>
      <c r="I21" s="43" t="str">
        <f t="shared" si="0"/>
        <v>原材料</v>
      </c>
      <c r="J21" s="44" t="str">
        <f t="shared" si="1"/>
        <v>原材料 矩形钢管</v>
      </c>
      <c r="K21" s="43">
        <f>COUNTIF($J$2:J21,J21)</f>
        <v>1</v>
      </c>
    </row>
    <row r="22" spans="1:11">
      <c r="A22" s="47">
        <v>20</v>
      </c>
      <c r="B22" s="47">
        <f>IF(K22=1,COUNTIF($D$2:D22,D22),"")</f>
        <v>20</v>
      </c>
      <c r="C22" s="47"/>
      <c r="D22" s="47" t="s">
        <v>82</v>
      </c>
      <c r="E22" s="49"/>
      <c r="F22" s="47"/>
      <c r="G22" s="49" t="s">
        <v>73</v>
      </c>
      <c r="H22" s="47" t="s">
        <v>157</v>
      </c>
      <c r="I22" s="43" t="str">
        <f t="shared" si="0"/>
        <v>原材料</v>
      </c>
      <c r="J22" s="44" t="str">
        <f t="shared" si="1"/>
        <v>原材料 工字钢</v>
      </c>
      <c r="K22" s="43">
        <f>COUNTIF($J$2:J22,J22)</f>
        <v>1</v>
      </c>
    </row>
    <row r="23" spans="1:11">
      <c r="A23" s="47">
        <v>21</v>
      </c>
      <c r="B23" s="47">
        <f>IF(K23=1,COUNTIF($D$2:D23,D23),"")</f>
        <v>21</v>
      </c>
      <c r="C23" s="47"/>
      <c r="D23" s="47" t="s">
        <v>82</v>
      </c>
      <c r="E23" s="49"/>
      <c r="F23" s="47"/>
      <c r="G23" s="49" t="s">
        <v>77</v>
      </c>
      <c r="H23" s="47" t="s">
        <v>158</v>
      </c>
      <c r="I23" s="43" t="str">
        <f t="shared" si="0"/>
        <v>原材料</v>
      </c>
      <c r="J23" s="44" t="str">
        <f t="shared" si="1"/>
        <v>原材料 H型钢</v>
      </c>
      <c r="K23" s="43">
        <f>COUNTIF($J$2:J23,J23)</f>
        <v>1</v>
      </c>
    </row>
    <row r="24" spans="1:11">
      <c r="A24" s="47">
        <v>22</v>
      </c>
      <c r="B24" s="47">
        <f>IF(K24=1,COUNTIF($D$2:D24,D24),"")</f>
        <v>22</v>
      </c>
      <c r="C24" s="47"/>
      <c r="D24" s="47" t="s">
        <v>82</v>
      </c>
      <c r="E24" s="49"/>
      <c r="F24" s="47"/>
      <c r="G24" s="49" t="s">
        <v>159</v>
      </c>
      <c r="H24" s="47" t="s">
        <v>160</v>
      </c>
      <c r="I24" s="43" t="str">
        <f t="shared" si="0"/>
        <v>原材料</v>
      </c>
      <c r="J24" s="44" t="str">
        <f t="shared" si="1"/>
        <v>原材料 轨道钢</v>
      </c>
      <c r="K24" s="43">
        <f>COUNTIF($J$2:J24,J24)</f>
        <v>1</v>
      </c>
    </row>
    <row r="25" spans="1:11">
      <c r="A25" s="47">
        <v>23</v>
      </c>
      <c r="B25" s="47">
        <f>IF(K25=1,COUNTIF($D$2:D25,D25),"")</f>
        <v>23</v>
      </c>
      <c r="C25" s="47"/>
      <c r="D25" s="47" t="s">
        <v>82</v>
      </c>
      <c r="E25" s="49"/>
      <c r="F25" s="47"/>
      <c r="G25" s="49" t="s">
        <v>161</v>
      </c>
      <c r="H25" s="47" t="s">
        <v>162</v>
      </c>
      <c r="I25" s="43" t="str">
        <f t="shared" si="0"/>
        <v>原材料</v>
      </c>
      <c r="J25" s="44" t="str">
        <f t="shared" si="1"/>
        <v>原材料 C型钢</v>
      </c>
      <c r="K25" s="43">
        <f>COUNTIF($J$2:J25,J25)</f>
        <v>1</v>
      </c>
    </row>
    <row r="26" spans="1:11">
      <c r="A26" s="47">
        <v>24</v>
      </c>
      <c r="B26" s="47">
        <f>IF(K26=1,COUNTIF($D$2:D26,D26),"")</f>
        <v>24</v>
      </c>
      <c r="C26" s="47"/>
      <c r="D26" s="47" t="s">
        <v>82</v>
      </c>
      <c r="E26" s="49" t="s">
        <v>28</v>
      </c>
      <c r="F26" s="47"/>
      <c r="G26" s="49" t="s">
        <v>163</v>
      </c>
      <c r="H26" s="47" t="s">
        <v>164</v>
      </c>
      <c r="I26" s="43" t="str">
        <f t="shared" si="0"/>
        <v>原材料</v>
      </c>
      <c r="J26" s="44" t="str">
        <f t="shared" si="1"/>
        <v>原材料 有色金属板材</v>
      </c>
      <c r="K26" s="43">
        <f>COUNTIF($J$2:J26,J26)</f>
        <v>1</v>
      </c>
    </row>
    <row r="27" spans="1:11">
      <c r="A27" s="47">
        <v>25</v>
      </c>
      <c r="B27" s="47">
        <f>IF(K27=1,COUNTIF($D$2:D27,D27),"")</f>
        <v>25</v>
      </c>
      <c r="C27" s="47"/>
      <c r="D27" s="47" t="s">
        <v>82</v>
      </c>
      <c r="E27" s="49"/>
      <c r="F27" s="47"/>
      <c r="G27" s="49" t="s">
        <v>165</v>
      </c>
      <c r="H27" s="47" t="s">
        <v>166</v>
      </c>
      <c r="I27" s="43" t="str">
        <f t="shared" si="0"/>
        <v>原材料</v>
      </c>
      <c r="J27" s="44" t="str">
        <f t="shared" si="1"/>
        <v>原材料 有色金属带材</v>
      </c>
      <c r="K27" s="43">
        <f>COUNTIF($J$2:J27,J27)</f>
        <v>1</v>
      </c>
    </row>
    <row r="28" spans="1:11">
      <c r="A28" s="47">
        <v>26</v>
      </c>
      <c r="B28" s="47">
        <f>IF(K28=1,COUNTIF($D$2:D28,D28),"")</f>
        <v>26</v>
      </c>
      <c r="C28" s="47"/>
      <c r="D28" s="47" t="s">
        <v>82</v>
      </c>
      <c r="E28" s="49"/>
      <c r="F28" s="47"/>
      <c r="G28" s="49" t="s">
        <v>167</v>
      </c>
      <c r="H28" s="47" t="s">
        <v>168</v>
      </c>
      <c r="I28" s="43" t="str">
        <f t="shared" si="0"/>
        <v>原材料</v>
      </c>
      <c r="J28" s="44" t="str">
        <f t="shared" si="1"/>
        <v>原材料 有色金属管材</v>
      </c>
      <c r="K28" s="43">
        <f>COUNTIF($J$2:J28,J28)</f>
        <v>1</v>
      </c>
    </row>
    <row r="29" spans="1:11">
      <c r="A29" s="47">
        <v>27</v>
      </c>
      <c r="B29" s="47">
        <f>IF(K29=1,COUNTIF($D$2:D29,D29),"")</f>
        <v>27</v>
      </c>
      <c r="C29" s="47"/>
      <c r="D29" s="47" t="s">
        <v>82</v>
      </c>
      <c r="E29" s="49"/>
      <c r="F29" s="47"/>
      <c r="G29" s="49" t="s">
        <v>169</v>
      </c>
      <c r="H29" s="47" t="s">
        <v>170</v>
      </c>
      <c r="I29" s="43" t="str">
        <f t="shared" si="0"/>
        <v>原材料</v>
      </c>
      <c r="J29" s="44" t="str">
        <f t="shared" si="1"/>
        <v>原材料 有色金属棒材</v>
      </c>
      <c r="K29" s="43">
        <f>COUNTIF($J$2:J29,J29)</f>
        <v>1</v>
      </c>
    </row>
    <row r="30" spans="1:11">
      <c r="A30" s="47">
        <v>28</v>
      </c>
      <c r="B30" s="47">
        <f>IF(K30=1,COUNTIF($D$2:D30,D30),"")</f>
        <v>28</v>
      </c>
      <c r="C30" s="47"/>
      <c r="D30" s="47" t="s">
        <v>82</v>
      </c>
      <c r="E30" s="49"/>
      <c r="F30" s="47"/>
      <c r="G30" s="49" t="s">
        <v>171</v>
      </c>
      <c r="H30" s="47" t="s">
        <v>172</v>
      </c>
      <c r="I30" s="43" t="str">
        <f t="shared" si="0"/>
        <v>原材料</v>
      </c>
      <c r="J30" s="44" t="str">
        <f t="shared" si="1"/>
        <v>原材料 非金属板材</v>
      </c>
      <c r="K30" s="43">
        <f>COUNTIF($J$2:J30,J30)</f>
        <v>1</v>
      </c>
    </row>
    <row r="31" spans="1:11">
      <c r="A31" s="47">
        <v>29</v>
      </c>
      <c r="B31" s="47">
        <f>IF(K31=1,COUNTIF($D$2:D31,D31),"")</f>
        <v>29</v>
      </c>
      <c r="C31" s="47"/>
      <c r="D31" s="47" t="s">
        <v>82</v>
      </c>
      <c r="E31" s="49" t="s">
        <v>35</v>
      </c>
      <c r="F31" s="47"/>
      <c r="G31" s="49" t="s">
        <v>173</v>
      </c>
      <c r="H31" s="47" t="s">
        <v>174</v>
      </c>
      <c r="I31" s="43" t="str">
        <f t="shared" si="0"/>
        <v>原材料</v>
      </c>
      <c r="J31" s="44" t="str">
        <f t="shared" si="1"/>
        <v>原材料 非金属带材</v>
      </c>
      <c r="K31" s="43">
        <f>COUNTIF($J$2:J31,J31)</f>
        <v>1</v>
      </c>
    </row>
    <row r="32" spans="1:11">
      <c r="A32" s="47">
        <v>30</v>
      </c>
      <c r="B32" s="47">
        <f>IF(K32=1,COUNTIF($D$2:D32,D32),"")</f>
        <v>30</v>
      </c>
      <c r="C32" s="47"/>
      <c r="D32" s="47" t="s">
        <v>82</v>
      </c>
      <c r="E32" s="49"/>
      <c r="F32" s="47"/>
      <c r="G32" s="49" t="s">
        <v>175</v>
      </c>
      <c r="H32" s="47" t="s">
        <v>176</v>
      </c>
      <c r="I32" s="43" t="str">
        <f t="shared" si="0"/>
        <v>原材料</v>
      </c>
      <c r="J32" s="44" t="str">
        <f t="shared" si="1"/>
        <v>原材料 非金属管材</v>
      </c>
      <c r="K32" s="43">
        <f>COUNTIF($J$2:J32,J32)</f>
        <v>1</v>
      </c>
    </row>
    <row r="33" spans="1:11">
      <c r="A33" s="47">
        <v>31</v>
      </c>
      <c r="B33" s="47">
        <f>IF(K33=1,COUNTIF($D$2:D33,D33),"")</f>
        <v>31</v>
      </c>
      <c r="C33" s="47"/>
      <c r="D33" s="47" t="s">
        <v>82</v>
      </c>
      <c r="E33" s="49"/>
      <c r="F33" s="47"/>
      <c r="G33" s="49" t="s">
        <v>177</v>
      </c>
      <c r="H33" s="47" t="s">
        <v>178</v>
      </c>
      <c r="I33" s="43" t="str">
        <f t="shared" si="0"/>
        <v>原材料</v>
      </c>
      <c r="J33" s="44" t="str">
        <f t="shared" si="1"/>
        <v>原材料 非金属棒材</v>
      </c>
      <c r="K33" s="43">
        <f>COUNTIF($J$2:J33,J33)</f>
        <v>1</v>
      </c>
    </row>
    <row r="34" spans="1:11">
      <c r="A34" s="47">
        <v>32</v>
      </c>
      <c r="B34" s="47">
        <f>IF(K34=1,COUNTIF($D$2:D34,D34),"")</f>
        <v>32</v>
      </c>
      <c r="C34" s="47"/>
      <c r="D34" s="47" t="s">
        <v>82</v>
      </c>
      <c r="E34" s="49" t="s">
        <v>179</v>
      </c>
      <c r="F34" s="47"/>
      <c r="G34" s="49" t="s">
        <v>96</v>
      </c>
      <c r="H34" s="47" t="s">
        <v>180</v>
      </c>
      <c r="I34" s="43" t="str">
        <f t="shared" si="0"/>
        <v>原材料</v>
      </c>
      <c r="J34" s="44" t="str">
        <f t="shared" si="1"/>
        <v>原材料 保温板材</v>
      </c>
      <c r="K34" s="43">
        <f>COUNTIF($J$2:J34,J34)</f>
        <v>1</v>
      </c>
    </row>
    <row r="35" spans="1:11">
      <c r="A35" s="47">
        <v>33</v>
      </c>
      <c r="B35" s="47">
        <f>IF(K35=1,COUNTIF($D$2:D35,D35),"")</f>
        <v>33</v>
      </c>
      <c r="C35" s="47"/>
      <c r="D35" s="47" t="s">
        <v>82</v>
      </c>
      <c r="E35" s="49"/>
      <c r="F35" s="47"/>
      <c r="G35" s="49" t="s">
        <v>100</v>
      </c>
      <c r="H35" s="47" t="s">
        <v>181</v>
      </c>
      <c r="I35" s="43" t="str">
        <f t="shared" si="0"/>
        <v>原材料</v>
      </c>
      <c r="J35" s="44" t="str">
        <f t="shared" si="1"/>
        <v>原材料 保温管材</v>
      </c>
      <c r="K35" s="43">
        <f>COUNTIF($J$2:J35,J35)</f>
        <v>1</v>
      </c>
    </row>
    <row r="36" spans="1:11">
      <c r="A36" s="47">
        <v>34</v>
      </c>
      <c r="B36" s="47">
        <f>IF(K36=1,COUNTIF($D$2:D36,D36),"")</f>
        <v>34</v>
      </c>
      <c r="C36" s="47"/>
      <c r="D36" s="47" t="s">
        <v>82</v>
      </c>
      <c r="E36" s="49"/>
      <c r="F36" s="49"/>
      <c r="G36" s="49" t="s">
        <v>23</v>
      </c>
      <c r="H36" s="47" t="s">
        <v>182</v>
      </c>
      <c r="I36" s="43" t="str">
        <f t="shared" si="0"/>
        <v>原材料</v>
      </c>
      <c r="J36" s="44" t="str">
        <f t="shared" si="1"/>
        <v>原材料 复合材质</v>
      </c>
      <c r="K36" s="43">
        <f>COUNTIF($J$2:J36,J36)</f>
        <v>1</v>
      </c>
    </row>
    <row r="37" spans="1:11">
      <c r="A37" s="47">
        <v>35</v>
      </c>
      <c r="B37" s="47">
        <f>IF(K37=1,COUNTIF($D$2:D37,D37),"")</f>
        <v>35</v>
      </c>
      <c r="C37" s="50"/>
      <c r="D37" s="47" t="s">
        <v>82</v>
      </c>
      <c r="E37" s="49"/>
      <c r="F37" s="49"/>
      <c r="G37" s="49" t="s">
        <v>183</v>
      </c>
      <c r="H37" s="47" t="s">
        <v>184</v>
      </c>
      <c r="I37" s="43" t="str">
        <f t="shared" ref="I37" si="3">IF(COUNTA(C37)=1,C37,I36)</f>
        <v>原材料</v>
      </c>
      <c r="J37" s="44" t="str">
        <f t="shared" ref="J37" si="4">CONCATENATE(I37," ",G37)</f>
        <v>原材料 其它原材料</v>
      </c>
      <c r="K37" s="43">
        <f>COUNTIF($J$2:J37,J37)</f>
        <v>1</v>
      </c>
    </row>
    <row r="38" spans="1:11">
      <c r="A38" s="47">
        <v>36</v>
      </c>
      <c r="B38" s="50">
        <f>IF(K38=1,COUNTIF($D$2:D38,D38),"")</f>
        <v>1</v>
      </c>
      <c r="C38" s="51" t="s">
        <v>107</v>
      </c>
      <c r="D38" s="50" t="s">
        <v>104</v>
      </c>
      <c r="E38" s="49" t="s">
        <v>108</v>
      </c>
      <c r="F38" s="47"/>
      <c r="G38" s="49" t="s">
        <v>185</v>
      </c>
      <c r="H38" s="50" t="s">
        <v>186</v>
      </c>
      <c r="I38" s="43" t="str">
        <f>IF(COUNTA(C38)=1,C38,#REF!)</f>
        <v>外购设备</v>
      </c>
      <c r="J38" s="44" t="str">
        <f t="shared" si="1"/>
        <v>外购设备 氨制冷系统</v>
      </c>
      <c r="K38" s="43">
        <f>COUNTIF($J$2:J38,J38)</f>
        <v>1</v>
      </c>
    </row>
    <row r="39" spans="1:11">
      <c r="A39" s="47">
        <v>37</v>
      </c>
      <c r="B39" s="47">
        <f>IF(K39=1,COUNTIF($D$2:D39,D39),"")</f>
        <v>2</v>
      </c>
      <c r="C39" s="48"/>
      <c r="D39" s="47" t="s">
        <v>104</v>
      </c>
      <c r="E39" s="49"/>
      <c r="F39" s="47"/>
      <c r="G39" s="49" t="s">
        <v>187</v>
      </c>
      <c r="H39" s="47" t="s">
        <v>188</v>
      </c>
      <c r="I39" s="43" t="str">
        <f t="shared" si="0"/>
        <v>外购设备</v>
      </c>
      <c r="J39" s="44" t="str">
        <f t="shared" si="1"/>
        <v>外购设备 板片空气换热器</v>
      </c>
      <c r="K39" s="43">
        <f>COUNTIF($J$2:J39,J39)</f>
        <v>1</v>
      </c>
    </row>
    <row r="40" spans="1:11">
      <c r="A40" s="47">
        <v>38</v>
      </c>
      <c r="B40" s="47">
        <f>IF(K40=1,COUNTIF($D$2:D40,D40),"")</f>
        <v>3</v>
      </c>
      <c r="C40" s="48"/>
      <c r="D40" s="47" t="s">
        <v>104</v>
      </c>
      <c r="E40" s="49"/>
      <c r="F40" s="47"/>
      <c r="G40" s="49" t="s">
        <v>189</v>
      </c>
      <c r="H40" s="47" t="s">
        <v>190</v>
      </c>
      <c r="I40" s="43" t="str">
        <f t="shared" si="0"/>
        <v>外购设备</v>
      </c>
      <c r="J40" s="44" t="str">
        <f t="shared" si="1"/>
        <v>外购设备 导热油加热器</v>
      </c>
      <c r="K40" s="43">
        <f>COUNTIF($J$2:J40,J40)</f>
        <v>1</v>
      </c>
    </row>
    <row r="41" spans="1:11">
      <c r="A41" s="47">
        <v>39</v>
      </c>
      <c r="B41" s="47">
        <f>IF(K41=1,COUNTIF($D$2:D41,D41),"")</f>
        <v>4</v>
      </c>
      <c r="C41" s="48"/>
      <c r="D41" s="47" t="s">
        <v>104</v>
      </c>
      <c r="E41" s="49"/>
      <c r="F41" s="47"/>
      <c r="G41" s="49" t="s">
        <v>191</v>
      </c>
      <c r="H41" s="47" t="s">
        <v>192</v>
      </c>
      <c r="I41" s="43" t="str">
        <f t="shared" si="0"/>
        <v>外购设备</v>
      </c>
      <c r="J41" s="44" t="str">
        <f t="shared" si="1"/>
        <v>外购设备 可拆板壳式换热器</v>
      </c>
      <c r="K41" s="43">
        <f>COUNTIF($J$2:J41,J41)</f>
        <v>1</v>
      </c>
    </row>
    <row r="42" spans="1:11">
      <c r="A42" s="47">
        <v>40</v>
      </c>
      <c r="B42" s="47">
        <f>IF(K42=1,COUNTIF($D$2:D42,D42),"")</f>
        <v>5</v>
      </c>
      <c r="C42" s="48"/>
      <c r="D42" s="47" t="s">
        <v>104</v>
      </c>
      <c r="E42" s="49"/>
      <c r="F42" s="47"/>
      <c r="G42" s="49" t="s">
        <v>193</v>
      </c>
      <c r="H42" s="47" t="s">
        <v>194</v>
      </c>
      <c r="I42" s="43" t="str">
        <f t="shared" si="0"/>
        <v>外购设备</v>
      </c>
      <c r="J42" s="44" t="str">
        <f t="shared" si="1"/>
        <v>外购设备 炒籽机</v>
      </c>
      <c r="K42" s="43">
        <f>COUNTIF($J$2:J42,J42)</f>
        <v>1</v>
      </c>
    </row>
    <row r="43" spans="1:11">
      <c r="A43" s="47">
        <v>41</v>
      </c>
      <c r="B43" s="47">
        <f>IF(K43=1,COUNTIF($D$2:D43,D43),"")</f>
        <v>6</v>
      </c>
      <c r="C43" s="48"/>
      <c r="D43" s="47" t="s">
        <v>104</v>
      </c>
      <c r="E43" s="49"/>
      <c r="F43" s="47"/>
      <c r="G43" s="49" t="s">
        <v>195</v>
      </c>
      <c r="H43" s="47" t="s">
        <v>196</v>
      </c>
      <c r="I43" s="43" t="str">
        <f t="shared" si="0"/>
        <v>外购设备</v>
      </c>
      <c r="J43" s="44" t="str">
        <f t="shared" si="1"/>
        <v>外购设备 烘干塔</v>
      </c>
      <c r="K43" s="43">
        <f>COUNTIF($J$2:J43,J43)</f>
        <v>1</v>
      </c>
    </row>
    <row r="44" spans="1:11">
      <c r="A44" s="47">
        <v>42</v>
      </c>
      <c r="B44" s="47">
        <f>IF(K44=1,COUNTIF($D$2:D44,D44),"")</f>
        <v>7</v>
      </c>
      <c r="C44" s="48"/>
      <c r="D44" s="47" t="s">
        <v>104</v>
      </c>
      <c r="E44" s="49"/>
      <c r="F44" s="47"/>
      <c r="G44" s="49" t="s">
        <v>197</v>
      </c>
      <c r="H44" s="47" t="s">
        <v>198</v>
      </c>
      <c r="I44" s="43" t="str">
        <f t="shared" si="0"/>
        <v>外购设备</v>
      </c>
      <c r="J44" s="44" t="str">
        <f t="shared" si="1"/>
        <v>外购设备 齿式破碎机</v>
      </c>
      <c r="K44" s="43">
        <f>COUNTIF($J$2:J44,J44)</f>
        <v>1</v>
      </c>
    </row>
    <row r="45" spans="1:11">
      <c r="A45" s="47">
        <v>43</v>
      </c>
      <c r="B45" s="47">
        <f>IF(K45=1,COUNTIF($D$2:D45,D45),"")</f>
        <v>8</v>
      </c>
      <c r="C45" s="48"/>
      <c r="D45" s="47" t="s">
        <v>104</v>
      </c>
      <c r="E45" s="49"/>
      <c r="F45" s="47"/>
      <c r="G45" s="49" t="s">
        <v>199</v>
      </c>
      <c r="H45" s="47" t="s">
        <v>200</v>
      </c>
      <c r="I45" s="43" t="str">
        <f t="shared" si="0"/>
        <v>外购设备</v>
      </c>
      <c r="J45" s="44" t="str">
        <f t="shared" si="1"/>
        <v>外购设备 碟盘粉碎机</v>
      </c>
      <c r="K45" s="43">
        <f>COUNTIF($J$2:J45,J45)</f>
        <v>1</v>
      </c>
    </row>
    <row r="46" spans="1:11">
      <c r="A46" s="47">
        <v>44</v>
      </c>
      <c r="B46" s="47">
        <f>IF(K46=1,COUNTIF($D$2:D46,D46),"")</f>
        <v>9</v>
      </c>
      <c r="C46" s="48"/>
      <c r="D46" s="47" t="s">
        <v>104</v>
      </c>
      <c r="E46" s="49"/>
      <c r="F46" s="47"/>
      <c r="G46" s="49" t="s">
        <v>201</v>
      </c>
      <c r="H46" s="47" t="s">
        <v>202</v>
      </c>
      <c r="I46" s="43" t="str">
        <f t="shared" si="0"/>
        <v>外购设备</v>
      </c>
      <c r="J46" s="44" t="str">
        <f t="shared" si="1"/>
        <v>外购设备 齿辊破碎机</v>
      </c>
      <c r="K46" s="43">
        <f>COUNTIF($J$2:J46,J46)</f>
        <v>1</v>
      </c>
    </row>
    <row r="47" spans="1:11">
      <c r="A47" s="47">
        <v>45</v>
      </c>
      <c r="B47" s="47">
        <f>IF(K47=1,COUNTIF($D$2:D47,D47),"")</f>
        <v>10</v>
      </c>
      <c r="C47" s="48"/>
      <c r="D47" s="47" t="s">
        <v>104</v>
      </c>
      <c r="E47" s="49"/>
      <c r="F47" s="47"/>
      <c r="G47" s="49" t="s">
        <v>203</v>
      </c>
      <c r="H47" s="47" t="s">
        <v>204</v>
      </c>
      <c r="I47" s="43" t="str">
        <f t="shared" si="0"/>
        <v>外购设备</v>
      </c>
      <c r="J47" s="44" t="str">
        <f t="shared" si="1"/>
        <v>外购设备 膨化机</v>
      </c>
      <c r="K47" s="43">
        <f>COUNTIF($J$2:J47,J47)</f>
        <v>1</v>
      </c>
    </row>
    <row r="48" spans="1:11">
      <c r="A48" s="47">
        <v>46</v>
      </c>
      <c r="B48" s="47">
        <f>IF(K48=1,COUNTIF($D$2:D48,D48),"")</f>
        <v>11</v>
      </c>
      <c r="C48" s="48"/>
      <c r="D48" s="47" t="s">
        <v>104</v>
      </c>
      <c r="E48" s="49"/>
      <c r="F48" s="47"/>
      <c r="G48" s="49" t="s">
        <v>205</v>
      </c>
      <c r="H48" s="47" t="s">
        <v>206</v>
      </c>
      <c r="I48" s="43" t="str">
        <f t="shared" si="0"/>
        <v>外购设备</v>
      </c>
      <c r="J48" s="44" t="str">
        <f t="shared" si="1"/>
        <v>外购设备 轧胚机</v>
      </c>
      <c r="K48" s="43">
        <f>COUNTIF($J$2:J48,J48)</f>
        <v>1</v>
      </c>
    </row>
    <row r="49" spans="1:11">
      <c r="A49" s="47">
        <v>47</v>
      </c>
      <c r="B49" s="47">
        <f>IF(K49=1,COUNTIF($D$2:D49,D49),"")</f>
        <v>12</v>
      </c>
      <c r="C49" s="48"/>
      <c r="D49" s="47" t="s">
        <v>104</v>
      </c>
      <c r="E49" s="49"/>
      <c r="F49" s="47"/>
      <c r="G49" s="49" t="s">
        <v>207</v>
      </c>
      <c r="H49" s="47" t="s">
        <v>208</v>
      </c>
      <c r="I49" s="43" t="str">
        <f t="shared" si="0"/>
        <v>外购设备</v>
      </c>
      <c r="J49" s="44" t="str">
        <f t="shared" si="1"/>
        <v>外购设备 磨辊机</v>
      </c>
      <c r="K49" s="43">
        <f>COUNTIF($J$2:J49,J49)</f>
        <v>1</v>
      </c>
    </row>
    <row r="50" spans="1:11">
      <c r="A50" s="47">
        <v>48</v>
      </c>
      <c r="B50" s="47">
        <f>IF(K50=1,COUNTIF($D$2:D50,D50),"")</f>
        <v>13</v>
      </c>
      <c r="C50" s="48"/>
      <c r="D50" s="47" t="s">
        <v>104</v>
      </c>
      <c r="E50" s="49"/>
      <c r="F50" s="47"/>
      <c r="G50" s="49" t="s">
        <v>209</v>
      </c>
      <c r="H50" s="47" t="s">
        <v>210</v>
      </c>
      <c r="I50" s="43" t="str">
        <f t="shared" si="0"/>
        <v>外购设备</v>
      </c>
      <c r="J50" s="44" t="str">
        <f t="shared" si="1"/>
        <v>外购设备 榨油机</v>
      </c>
      <c r="K50" s="43">
        <f>COUNTIF($J$2:J50,J50)</f>
        <v>1</v>
      </c>
    </row>
    <row r="51" spans="1:11">
      <c r="A51" s="47">
        <v>49</v>
      </c>
      <c r="B51" s="47">
        <f>IF(K51=1,COUNTIF($D$2:D51,D51),"")</f>
        <v>14</v>
      </c>
      <c r="C51" s="48"/>
      <c r="D51" s="47" t="s">
        <v>104</v>
      </c>
      <c r="E51" s="49"/>
      <c r="F51" s="47"/>
      <c r="G51" s="49" t="s">
        <v>211</v>
      </c>
      <c r="H51" s="47" t="s">
        <v>212</v>
      </c>
      <c r="I51" s="43" t="str">
        <f t="shared" si="0"/>
        <v>外购设备</v>
      </c>
      <c r="J51" s="44" t="str">
        <f t="shared" si="1"/>
        <v>外购设备 剪切泵</v>
      </c>
      <c r="K51" s="43">
        <f>COUNTIF($J$2:J51,J51)</f>
        <v>1</v>
      </c>
    </row>
    <row r="52" spans="1:11">
      <c r="A52" s="47">
        <v>50</v>
      </c>
      <c r="B52" s="47">
        <f>IF(K52=1,COUNTIF($D$2:D52,D52),"")</f>
        <v>15</v>
      </c>
      <c r="C52" s="48"/>
      <c r="D52" s="47" t="s">
        <v>104</v>
      </c>
      <c r="E52" s="49"/>
      <c r="F52" s="47"/>
      <c r="G52" s="49" t="s">
        <v>213</v>
      </c>
      <c r="H52" s="47" t="s">
        <v>214</v>
      </c>
      <c r="I52" s="43" t="str">
        <f t="shared" si="0"/>
        <v>外购设备</v>
      </c>
      <c r="J52" s="44" t="str">
        <f t="shared" si="1"/>
        <v>外购设备 多效混合器</v>
      </c>
      <c r="K52" s="43">
        <f>COUNTIF($J$2:J52,J52)</f>
        <v>1</v>
      </c>
    </row>
    <row r="53" spans="1:11">
      <c r="A53" s="47">
        <v>51</v>
      </c>
      <c r="B53" s="47">
        <f>IF(K53=1,COUNTIF($D$2:D53,D53),"")</f>
        <v>16</v>
      </c>
      <c r="C53" s="48"/>
      <c r="D53" s="47" t="s">
        <v>104</v>
      </c>
      <c r="E53" s="49"/>
      <c r="F53" s="47"/>
      <c r="G53" s="49" t="s">
        <v>215</v>
      </c>
      <c r="H53" s="47" t="s">
        <v>216</v>
      </c>
      <c r="I53" s="43" t="str">
        <f t="shared" si="0"/>
        <v>外购设备</v>
      </c>
      <c r="J53" s="44" t="str">
        <f t="shared" si="1"/>
        <v>外购设备 刮刀过滤机</v>
      </c>
      <c r="K53" s="43">
        <f>COUNTIF($J$2:J53,J53)</f>
        <v>1</v>
      </c>
    </row>
    <row r="54" spans="1:11">
      <c r="A54" s="47">
        <v>52</v>
      </c>
      <c r="B54" s="47">
        <f>IF(K54=1,COUNTIF($D$2:D54,D54),"")</f>
        <v>17</v>
      </c>
      <c r="C54" s="48"/>
      <c r="D54" s="47" t="s">
        <v>104</v>
      </c>
      <c r="E54" s="49"/>
      <c r="F54" s="47"/>
      <c r="G54" s="49" t="s">
        <v>217</v>
      </c>
      <c r="H54" s="47" t="s">
        <v>218</v>
      </c>
      <c r="I54" s="43" t="str">
        <f t="shared" si="0"/>
        <v>外购设备</v>
      </c>
      <c r="J54" s="44" t="str">
        <f t="shared" si="1"/>
        <v>外购设备 热卸式冬化过滤机</v>
      </c>
      <c r="K54" s="43">
        <f>COUNTIF($J$2:J54,J54)</f>
        <v>1</v>
      </c>
    </row>
    <row r="55" spans="1:11">
      <c r="A55" s="47">
        <v>53</v>
      </c>
      <c r="B55" s="47">
        <f>IF(K55=1,COUNTIF($D$2:D55,D55),"")</f>
        <v>18</v>
      </c>
      <c r="C55" s="48"/>
      <c r="D55" s="47" t="s">
        <v>104</v>
      </c>
      <c r="E55" s="49"/>
      <c r="F55" s="47"/>
      <c r="G55" s="49" t="s">
        <v>219</v>
      </c>
      <c r="H55" s="47" t="s">
        <v>220</v>
      </c>
      <c r="I55" s="43" t="str">
        <f t="shared" si="0"/>
        <v>外购设备</v>
      </c>
      <c r="J55" s="44" t="str">
        <f t="shared" si="1"/>
        <v>外购设备 卧式叶片过滤机</v>
      </c>
      <c r="K55" s="43">
        <f>COUNTIF($J$2:J55,J55)</f>
        <v>1</v>
      </c>
    </row>
    <row r="56" spans="1:11">
      <c r="A56" s="47">
        <v>54</v>
      </c>
      <c r="B56" s="47">
        <f>IF(K56=1,COUNTIF($D$2:D56,D56),"")</f>
        <v>19</v>
      </c>
      <c r="C56" s="48"/>
      <c r="D56" s="47" t="s">
        <v>104</v>
      </c>
      <c r="E56" s="49"/>
      <c r="F56" s="47"/>
      <c r="G56" s="49" t="s">
        <v>221</v>
      </c>
      <c r="H56" s="47" t="s">
        <v>222</v>
      </c>
      <c r="I56" s="43" t="str">
        <f t="shared" si="0"/>
        <v>外购设备</v>
      </c>
      <c r="J56" s="44" t="str">
        <f t="shared" si="1"/>
        <v>外购设备 压滤机</v>
      </c>
      <c r="K56" s="43">
        <f>COUNTIF($J$2:J56,J56)</f>
        <v>1</v>
      </c>
    </row>
    <row r="57" spans="1:11">
      <c r="A57" s="47">
        <v>55</v>
      </c>
      <c r="B57" s="47">
        <f>IF(K57=1,COUNTIF($D$2:D57,D57),"")</f>
        <v>20</v>
      </c>
      <c r="C57" s="48"/>
      <c r="D57" s="47" t="s">
        <v>104</v>
      </c>
      <c r="E57" s="49"/>
      <c r="F57" s="47"/>
      <c r="G57" s="49" t="s">
        <v>223</v>
      </c>
      <c r="H57" s="47" t="s">
        <v>224</v>
      </c>
      <c r="I57" s="43" t="str">
        <f t="shared" si="0"/>
        <v>外购设备</v>
      </c>
      <c r="J57" s="44" t="str">
        <f t="shared" si="1"/>
        <v>外购设备 拉丝机</v>
      </c>
      <c r="K57" s="43">
        <f>COUNTIF($J$2:J57,J57)</f>
        <v>1</v>
      </c>
    </row>
    <row r="58" spans="1:11">
      <c r="A58" s="47">
        <v>56</v>
      </c>
      <c r="B58" s="47">
        <f>IF(K58=1,COUNTIF($D$2:D58,D58),"")</f>
        <v>21</v>
      </c>
      <c r="C58" s="48"/>
      <c r="D58" s="47" t="s">
        <v>104</v>
      </c>
      <c r="E58" s="49"/>
      <c r="F58" s="47"/>
      <c r="G58" s="49" t="s">
        <v>225</v>
      </c>
      <c r="H58" s="47" t="s">
        <v>226</v>
      </c>
      <c r="I58" s="43" t="str">
        <f t="shared" si="0"/>
        <v>外购设备</v>
      </c>
      <c r="J58" s="44" t="str">
        <f t="shared" si="1"/>
        <v>外购设备 清仓机</v>
      </c>
      <c r="K58" s="43">
        <f>COUNTIF($J$2:J58,J58)</f>
        <v>1</v>
      </c>
    </row>
    <row r="59" spans="1:11">
      <c r="A59" s="47">
        <v>57</v>
      </c>
      <c r="B59" s="47">
        <f>IF(K59=1,COUNTIF($D$2:D59,D59),"")</f>
        <v>22</v>
      </c>
      <c r="C59" s="48"/>
      <c r="D59" s="47" t="s">
        <v>104</v>
      </c>
      <c r="E59" s="49"/>
      <c r="F59" s="47"/>
      <c r="G59" s="49" t="s">
        <v>227</v>
      </c>
      <c r="H59" s="47" t="s">
        <v>228</v>
      </c>
      <c r="I59" s="43" t="str">
        <f t="shared" si="0"/>
        <v>外购设备</v>
      </c>
      <c r="J59" s="44" t="str">
        <f t="shared" si="1"/>
        <v>外购设备 抛光机</v>
      </c>
      <c r="K59" s="43">
        <f>COUNTIF($J$2:J59,J59)</f>
        <v>1</v>
      </c>
    </row>
    <row r="60" spans="1:11">
      <c r="A60" s="47">
        <v>58</v>
      </c>
      <c r="B60" s="47">
        <f>IF(K60=1,COUNTIF($D$2:D60,D60),"")</f>
        <v>23</v>
      </c>
      <c r="C60" s="48"/>
      <c r="D60" s="47" t="s">
        <v>104</v>
      </c>
      <c r="E60" s="49"/>
      <c r="F60" s="47"/>
      <c r="G60" s="49" t="s">
        <v>229</v>
      </c>
      <c r="H60" s="47" t="s">
        <v>230</v>
      </c>
      <c r="I60" s="43" t="str">
        <f t="shared" si="0"/>
        <v>外购设备</v>
      </c>
      <c r="J60" s="44" t="str">
        <f t="shared" si="1"/>
        <v>外购设备 磷脂灌装机</v>
      </c>
      <c r="K60" s="43">
        <f>COUNTIF($J$2:J60,J60)</f>
        <v>1</v>
      </c>
    </row>
    <row r="61" spans="1:11">
      <c r="A61" s="47">
        <v>59</v>
      </c>
      <c r="B61" s="47">
        <f>IF(K61=1,COUNTIF($D$2:D61,D61),"")</f>
        <v>24</v>
      </c>
      <c r="C61" s="48"/>
      <c r="D61" s="47" t="s">
        <v>104</v>
      </c>
      <c r="E61" s="49"/>
      <c r="F61" s="47"/>
      <c r="G61" s="49" t="s">
        <v>231</v>
      </c>
      <c r="H61" s="47" t="s">
        <v>232</v>
      </c>
      <c r="I61" s="43" t="str">
        <f t="shared" si="0"/>
        <v>外购设备</v>
      </c>
      <c r="J61" s="44" t="str">
        <f t="shared" ref="J61:J124" si="5">CONCATENATE(I61," ",G61)</f>
        <v>外购设备 打油锅</v>
      </c>
      <c r="K61" s="43">
        <f>COUNTIF($J$2:J61,J61)</f>
        <v>1</v>
      </c>
    </row>
    <row r="62" spans="1:11">
      <c r="A62" s="47">
        <v>60</v>
      </c>
      <c r="B62" s="47">
        <f>IF(K62=1,COUNTIF($D$2:D62,D62),"")</f>
        <v>25</v>
      </c>
      <c r="C62" s="48"/>
      <c r="D62" s="47" t="s">
        <v>104</v>
      </c>
      <c r="E62" s="49"/>
      <c r="F62" s="47"/>
      <c r="G62" s="49" t="s">
        <v>233</v>
      </c>
      <c r="H62" s="47" t="s">
        <v>234</v>
      </c>
      <c r="I62" s="43" t="str">
        <f t="shared" si="0"/>
        <v>外购设备</v>
      </c>
      <c r="J62" s="44" t="str">
        <f t="shared" si="5"/>
        <v>外购设备 砂盘磨</v>
      </c>
      <c r="K62" s="43">
        <f>COUNTIF($J$2:J62,J62)</f>
        <v>1</v>
      </c>
    </row>
    <row r="63" spans="1:11">
      <c r="A63" s="47">
        <v>61</v>
      </c>
      <c r="B63" s="47">
        <f>IF(K63=1,COUNTIF($D$2:D63,D63),"")</f>
        <v>26</v>
      </c>
      <c r="C63" s="48"/>
      <c r="D63" s="47" t="s">
        <v>104</v>
      </c>
      <c r="E63" s="49"/>
      <c r="F63" s="47"/>
      <c r="G63" s="49" t="s">
        <v>235</v>
      </c>
      <c r="H63" s="47" t="s">
        <v>236</v>
      </c>
      <c r="I63" s="43" t="str">
        <f t="shared" si="0"/>
        <v>外购设备</v>
      </c>
      <c r="J63" s="44" t="str">
        <f t="shared" si="5"/>
        <v>外购设备 磁选过滤器</v>
      </c>
      <c r="K63" s="43">
        <f>COUNTIF($J$2:J63,J63)</f>
        <v>1</v>
      </c>
    </row>
    <row r="64" spans="1:11">
      <c r="A64" s="47">
        <v>62</v>
      </c>
      <c r="B64" s="47">
        <f>IF(K64=1,COUNTIF($D$2:D64,D64),"")</f>
        <v>27</v>
      </c>
      <c r="C64" s="47"/>
      <c r="D64" s="47" t="s">
        <v>104</v>
      </c>
      <c r="E64" s="49"/>
      <c r="F64" s="47"/>
      <c r="G64" s="49" t="s">
        <v>237</v>
      </c>
      <c r="H64" s="47" t="s">
        <v>238</v>
      </c>
      <c r="I64" s="43" t="str">
        <f t="shared" si="0"/>
        <v>外购设备</v>
      </c>
      <c r="J64" s="44" t="str">
        <f t="shared" si="5"/>
        <v>外购设备 卧式混合油过滤机</v>
      </c>
      <c r="K64" s="43">
        <f>COUNTIF($J$2:J64,J64)</f>
        <v>1</v>
      </c>
    </row>
    <row r="65" spans="1:11">
      <c r="A65" s="47">
        <v>63</v>
      </c>
      <c r="B65" s="47">
        <f>IF(K65=1,COUNTIF($D$2:D65,D65),"")</f>
        <v>28</v>
      </c>
      <c r="C65" s="48"/>
      <c r="D65" s="47" t="s">
        <v>104</v>
      </c>
      <c r="E65" s="49" t="s">
        <v>113</v>
      </c>
      <c r="F65" s="47"/>
      <c r="G65" s="49" t="s">
        <v>239</v>
      </c>
      <c r="H65" s="47" t="s">
        <v>240</v>
      </c>
      <c r="I65" s="43" t="str">
        <f t="shared" si="0"/>
        <v>外购设备</v>
      </c>
      <c r="J65" s="44" t="str">
        <f t="shared" si="5"/>
        <v>外购设备 喷射混合器</v>
      </c>
      <c r="K65" s="43">
        <f>COUNTIF($J$2:J65,J65)</f>
        <v>1</v>
      </c>
    </row>
    <row r="66" spans="1:11">
      <c r="A66" s="47">
        <v>64</v>
      </c>
      <c r="B66" s="47">
        <f>IF(K66=1,COUNTIF($D$2:D66,D66),"")</f>
        <v>29</v>
      </c>
      <c r="C66" s="48"/>
      <c r="D66" s="47" t="s">
        <v>104</v>
      </c>
      <c r="E66" s="49"/>
      <c r="F66" s="47"/>
      <c r="G66" s="49" t="s">
        <v>241</v>
      </c>
      <c r="H66" s="47" t="s">
        <v>242</v>
      </c>
      <c r="I66" s="43" t="str">
        <f t="shared" si="0"/>
        <v>外购设备</v>
      </c>
      <c r="J66" s="44" t="str">
        <f t="shared" si="5"/>
        <v>外购设备 水力喷射器</v>
      </c>
      <c r="K66" s="43">
        <f>COUNTIF($J$2:J66,J66)</f>
        <v>1</v>
      </c>
    </row>
    <row r="67" spans="1:11">
      <c r="A67" s="47">
        <v>65</v>
      </c>
      <c r="B67" s="47">
        <f>IF(K67=1,COUNTIF($D$2:D67,D67),"")</f>
        <v>30</v>
      </c>
      <c r="C67" s="48"/>
      <c r="D67" s="47" t="s">
        <v>104</v>
      </c>
      <c r="E67" s="49"/>
      <c r="F67" s="47"/>
      <c r="G67" s="49" t="s">
        <v>243</v>
      </c>
      <c r="H67" s="47" t="s">
        <v>244</v>
      </c>
      <c r="I67" s="43" t="str">
        <f t="shared" si="0"/>
        <v>外购设备</v>
      </c>
      <c r="J67" s="44" t="str">
        <f t="shared" si="5"/>
        <v>外购设备 重力曲筛</v>
      </c>
      <c r="K67" s="43">
        <f>COUNTIF($J$2:J67,J67)</f>
        <v>1</v>
      </c>
    </row>
    <row r="68" spans="1:11">
      <c r="A68" s="47">
        <v>66</v>
      </c>
      <c r="B68" s="47">
        <f>IF(K68=1,COUNTIF($D$2:D68,D68),"")</f>
        <v>31</v>
      </c>
      <c r="C68" s="48"/>
      <c r="D68" s="47" t="s">
        <v>104</v>
      </c>
      <c r="E68" s="49"/>
      <c r="F68" s="47"/>
      <c r="G68" s="49" t="s">
        <v>245</v>
      </c>
      <c r="H68" s="47" t="s">
        <v>246</v>
      </c>
      <c r="I68" s="43" t="str">
        <f t="shared" si="0"/>
        <v>外购设备</v>
      </c>
      <c r="J68" s="44" t="str">
        <f t="shared" si="5"/>
        <v>外购设备 压力曲筛</v>
      </c>
      <c r="K68" s="43">
        <f>COUNTIF($J$2:J68,J68)</f>
        <v>1</v>
      </c>
    </row>
    <row r="69" spans="1:11">
      <c r="A69" s="47">
        <v>67</v>
      </c>
      <c r="B69" s="47">
        <f>IF(K69=1,COUNTIF($D$2:D69,D69),"")</f>
        <v>32</v>
      </c>
      <c r="C69" s="48"/>
      <c r="D69" s="47" t="s">
        <v>104</v>
      </c>
      <c r="E69" s="49"/>
      <c r="F69" s="47"/>
      <c r="G69" s="49" t="s">
        <v>247</v>
      </c>
      <c r="H69" s="47" t="s">
        <v>248</v>
      </c>
      <c r="I69" s="43" t="str">
        <f t="shared" ref="I69:I132" si="6">IF(COUNTA(C69)=1,C69,I68)</f>
        <v>外购设备</v>
      </c>
      <c r="J69" s="44" t="str">
        <f t="shared" si="5"/>
        <v>外购设备 砂石捕集器</v>
      </c>
      <c r="K69" s="43">
        <f>COUNTIF($J$2:J69,J69)</f>
        <v>1</v>
      </c>
    </row>
    <row r="70" spans="1:11">
      <c r="A70" s="47">
        <v>68</v>
      </c>
      <c r="B70" s="47">
        <f>IF(K70=1,COUNTIF($D$2:D70,D70),"")</f>
        <v>33</v>
      </c>
      <c r="C70" s="48"/>
      <c r="D70" s="47" t="s">
        <v>104</v>
      </c>
      <c r="E70" s="49"/>
      <c r="F70" s="47"/>
      <c r="G70" s="49" t="s">
        <v>249</v>
      </c>
      <c r="H70" s="47" t="s">
        <v>250</v>
      </c>
      <c r="I70" s="43" t="str">
        <f t="shared" si="6"/>
        <v>外购设备</v>
      </c>
      <c r="J70" s="44" t="str">
        <f t="shared" si="5"/>
        <v>外购设备 除砂旋流器</v>
      </c>
      <c r="K70" s="43">
        <f>COUNTIF($J$2:J70,J70)</f>
        <v>1</v>
      </c>
    </row>
    <row r="71" spans="1:11">
      <c r="A71" s="47">
        <v>69</v>
      </c>
      <c r="B71" s="47">
        <f>IF(K71=1,COUNTIF($D$2:D71,D71),"")</f>
        <v>34</v>
      </c>
      <c r="C71" s="48"/>
      <c r="D71" s="47" t="s">
        <v>104</v>
      </c>
      <c r="E71" s="49"/>
      <c r="F71" s="47"/>
      <c r="G71" s="49" t="s">
        <v>251</v>
      </c>
      <c r="H71" s="47" t="s">
        <v>252</v>
      </c>
      <c r="I71" s="43" t="str">
        <f t="shared" si="6"/>
        <v>外购设备</v>
      </c>
      <c r="J71" s="44" t="str">
        <f t="shared" si="5"/>
        <v>外购设备 胚芽旋流器</v>
      </c>
      <c r="K71" s="43">
        <f>COUNTIF($J$2:J71,J71)</f>
        <v>1</v>
      </c>
    </row>
    <row r="72" spans="1:11">
      <c r="A72" s="47">
        <v>70</v>
      </c>
      <c r="B72" s="47">
        <f>IF(K72=1,COUNTIF($D$2:D72,D72),"")</f>
        <v>35</v>
      </c>
      <c r="C72" s="48"/>
      <c r="D72" s="47" t="s">
        <v>104</v>
      </c>
      <c r="E72" s="49"/>
      <c r="F72" s="47"/>
      <c r="G72" s="49" t="s">
        <v>253</v>
      </c>
      <c r="H72" s="47" t="s">
        <v>254</v>
      </c>
      <c r="I72" s="43" t="str">
        <f t="shared" si="6"/>
        <v>外购设备</v>
      </c>
      <c r="J72" s="44" t="str">
        <f t="shared" si="5"/>
        <v>外购设备 玻璃钢储罐</v>
      </c>
      <c r="K72" s="43">
        <f>COUNTIF($J$2:J72,J72)</f>
        <v>1</v>
      </c>
    </row>
    <row r="73" spans="1:11">
      <c r="A73" s="47">
        <v>71</v>
      </c>
      <c r="B73" s="47">
        <f>IF(K73=1,COUNTIF($D$2:D73,D73),"")</f>
        <v>36</v>
      </c>
      <c r="C73" s="48"/>
      <c r="D73" s="47" t="s">
        <v>104</v>
      </c>
      <c r="E73" s="49"/>
      <c r="F73" s="47"/>
      <c r="G73" s="49" t="s">
        <v>255</v>
      </c>
      <c r="H73" s="47" t="s">
        <v>256</v>
      </c>
      <c r="I73" s="43" t="str">
        <f t="shared" si="6"/>
        <v>外购设备</v>
      </c>
      <c r="J73" s="44" t="str">
        <f t="shared" si="5"/>
        <v>外购设备 脱胚磨</v>
      </c>
      <c r="K73" s="43">
        <f>COUNTIF($J$2:J73,J73)</f>
        <v>1</v>
      </c>
    </row>
    <row r="74" spans="1:11">
      <c r="A74" s="47">
        <v>72</v>
      </c>
      <c r="B74" s="47">
        <f>IF(K74=1,COUNTIF($D$2:D74,D74),"")</f>
        <v>37</v>
      </c>
      <c r="C74" s="48"/>
      <c r="D74" s="47" t="s">
        <v>104</v>
      </c>
      <c r="E74" s="49"/>
      <c r="F74" s="47"/>
      <c r="G74" s="49" t="s">
        <v>257</v>
      </c>
      <c r="H74" s="47" t="s">
        <v>258</v>
      </c>
      <c r="I74" s="43" t="str">
        <f t="shared" si="6"/>
        <v>外购设备</v>
      </c>
      <c r="J74" s="44" t="str">
        <f t="shared" si="5"/>
        <v>外购设备 树脂</v>
      </c>
      <c r="K74" s="43">
        <f>COUNTIF($J$2:J74,J74)</f>
        <v>1</v>
      </c>
    </row>
    <row r="75" spans="1:11">
      <c r="A75" s="47">
        <v>73</v>
      </c>
      <c r="B75" s="47">
        <f>IF(K75=1,COUNTIF($D$2:D75,D75),"")</f>
        <v>38</v>
      </c>
      <c r="C75" s="48"/>
      <c r="D75" s="47" t="s">
        <v>104</v>
      </c>
      <c r="E75" s="49"/>
      <c r="F75" s="47"/>
      <c r="G75" s="49" t="s">
        <v>259</v>
      </c>
      <c r="H75" s="47" t="s">
        <v>260</v>
      </c>
      <c r="I75" s="43" t="str">
        <f t="shared" si="6"/>
        <v>外购设备</v>
      </c>
      <c r="J75" s="44" t="str">
        <f t="shared" si="5"/>
        <v>外购设备 无菌风设备</v>
      </c>
      <c r="K75" s="43">
        <f>COUNTIF($J$2:J75,J75)</f>
        <v>1</v>
      </c>
    </row>
    <row r="76" spans="1:11">
      <c r="A76" s="47">
        <v>74</v>
      </c>
      <c r="B76" s="47">
        <f>IF(K76=1,COUNTIF($D$2:D76,D76),"")</f>
        <v>39</v>
      </c>
      <c r="C76" s="48"/>
      <c r="D76" s="47" t="s">
        <v>104</v>
      </c>
      <c r="E76" s="49" t="s">
        <v>115</v>
      </c>
      <c r="F76" s="47"/>
      <c r="G76" s="49" t="s">
        <v>261</v>
      </c>
      <c r="H76" s="47" t="s">
        <v>262</v>
      </c>
      <c r="I76" s="43" t="str">
        <f t="shared" si="6"/>
        <v>外购设备</v>
      </c>
      <c r="J76" s="44" t="str">
        <f t="shared" si="5"/>
        <v>外购设备 MVR压缩机</v>
      </c>
      <c r="K76" s="43">
        <f>COUNTIF($J$2:J76,J76)</f>
        <v>1</v>
      </c>
    </row>
    <row r="77" spans="1:11">
      <c r="A77" s="47">
        <v>75</v>
      </c>
      <c r="B77" s="47">
        <f>IF(K77=1,COUNTIF($D$2:D77,D77),"")</f>
        <v>40</v>
      </c>
      <c r="C77" s="48"/>
      <c r="D77" s="47" t="s">
        <v>104</v>
      </c>
      <c r="E77" s="49"/>
      <c r="F77" s="47"/>
      <c r="G77" s="49" t="s">
        <v>263</v>
      </c>
      <c r="H77" s="47" t="s">
        <v>264</v>
      </c>
      <c r="I77" s="43" t="str">
        <f t="shared" si="6"/>
        <v>外购设备</v>
      </c>
      <c r="J77" s="44" t="str">
        <f t="shared" si="5"/>
        <v>外购设备 双级活塞推料离心机</v>
      </c>
      <c r="K77" s="43">
        <f>COUNTIF($J$2:J77,J77)</f>
        <v>1</v>
      </c>
    </row>
    <row r="78" spans="1:11">
      <c r="A78" s="47">
        <v>76</v>
      </c>
      <c r="B78" s="47">
        <f>IF(K78=1,COUNTIF($D$2:D78,D78),"")</f>
        <v>41</v>
      </c>
      <c r="C78" s="48"/>
      <c r="D78" s="47" t="s">
        <v>104</v>
      </c>
      <c r="E78" s="49"/>
      <c r="F78" s="47"/>
      <c r="G78" s="49" t="s">
        <v>265</v>
      </c>
      <c r="H78" s="47" t="s">
        <v>266</v>
      </c>
      <c r="I78" s="43" t="str">
        <f t="shared" si="6"/>
        <v>外购设备</v>
      </c>
      <c r="J78" s="44" t="str">
        <f t="shared" si="5"/>
        <v>外购设备 水力旋流器</v>
      </c>
      <c r="K78" s="43">
        <f>COUNTIF($J$2:J78,J78)</f>
        <v>1</v>
      </c>
    </row>
    <row r="79" spans="1:11">
      <c r="A79" s="47">
        <v>77</v>
      </c>
      <c r="B79" s="47">
        <f>IF(K79=1,COUNTIF($D$2:D79,D79),"")</f>
        <v>42</v>
      </c>
      <c r="C79" s="48"/>
      <c r="D79" s="47" t="s">
        <v>104</v>
      </c>
      <c r="E79" s="49"/>
      <c r="F79" s="47"/>
      <c r="G79" s="49" t="s">
        <v>267</v>
      </c>
      <c r="H79" s="47" t="s">
        <v>268</v>
      </c>
      <c r="I79" s="43" t="str">
        <f t="shared" si="6"/>
        <v>外购设备</v>
      </c>
      <c r="J79" s="44" t="str">
        <f t="shared" si="5"/>
        <v>外购设备 干燥机组</v>
      </c>
      <c r="K79" s="43">
        <f>COUNTIF($J$2:J79,J79)</f>
        <v>1</v>
      </c>
    </row>
    <row r="80" spans="1:11">
      <c r="A80" s="47">
        <v>78</v>
      </c>
      <c r="B80" s="47">
        <f>IF(K80=1,COUNTIF($D$2:D80,D80),"")</f>
        <v>43</v>
      </c>
      <c r="C80" s="48"/>
      <c r="D80" s="47" t="s">
        <v>104</v>
      </c>
      <c r="E80" s="49" t="s">
        <v>117</v>
      </c>
      <c r="F80" s="47"/>
      <c r="G80" s="49" t="s">
        <v>269</v>
      </c>
      <c r="H80" s="47" t="s">
        <v>270</v>
      </c>
      <c r="I80" s="43" t="str">
        <f t="shared" si="6"/>
        <v>外购设备</v>
      </c>
      <c r="J80" s="44" t="str">
        <f t="shared" si="5"/>
        <v>外购设备 冷冻机组</v>
      </c>
      <c r="K80" s="43">
        <f>COUNTIF($J$2:J80,J80)</f>
        <v>1</v>
      </c>
    </row>
    <row r="81" spans="1:11">
      <c r="A81" s="47">
        <v>79</v>
      </c>
      <c r="B81" s="47">
        <f>IF(K81=1,COUNTIF($D$2:D81,D81),"")</f>
        <v>44</v>
      </c>
      <c r="C81" s="48"/>
      <c r="D81" s="47" t="s">
        <v>104</v>
      </c>
      <c r="E81" s="49"/>
      <c r="F81" s="47"/>
      <c r="G81" s="49" t="s">
        <v>271</v>
      </c>
      <c r="H81" s="47" t="s">
        <v>272</v>
      </c>
      <c r="I81" s="43" t="str">
        <f t="shared" si="6"/>
        <v>外购设备</v>
      </c>
      <c r="J81" s="44" t="str">
        <f t="shared" si="5"/>
        <v>外购设备 板式换热器</v>
      </c>
      <c r="K81" s="43">
        <f>COUNTIF($J$2:J81,J81)</f>
        <v>1</v>
      </c>
    </row>
    <row r="82" spans="1:11">
      <c r="A82" s="47">
        <v>80</v>
      </c>
      <c r="B82" s="47">
        <f>IF(K82=1,COUNTIF($D$2:D82,D82),"")</f>
        <v>45</v>
      </c>
      <c r="C82" s="48"/>
      <c r="D82" s="47" t="s">
        <v>104</v>
      </c>
      <c r="E82" s="49"/>
      <c r="F82" s="47"/>
      <c r="G82" s="49" t="s">
        <v>273</v>
      </c>
      <c r="H82" s="47" t="s">
        <v>274</v>
      </c>
      <c r="I82" s="43" t="str">
        <f t="shared" si="6"/>
        <v>外购设备</v>
      </c>
      <c r="J82" s="44" t="str">
        <f t="shared" si="5"/>
        <v>外购设备 翅片管式换热器</v>
      </c>
      <c r="K82" s="43">
        <f>COUNTIF($J$2:J82,J82)</f>
        <v>1</v>
      </c>
    </row>
    <row r="83" spans="1:11">
      <c r="A83" s="47">
        <v>81</v>
      </c>
      <c r="B83" s="47">
        <f>IF(K83=1,COUNTIF($D$2:D83,D83),"")</f>
        <v>46</v>
      </c>
      <c r="C83" s="48"/>
      <c r="D83" s="47" t="s">
        <v>104</v>
      </c>
      <c r="E83" s="49"/>
      <c r="F83" s="47"/>
      <c r="G83" s="49" t="s">
        <v>275</v>
      </c>
      <c r="H83" s="47" t="s">
        <v>276</v>
      </c>
      <c r="I83" s="43" t="str">
        <f t="shared" si="6"/>
        <v>外购设备</v>
      </c>
      <c r="J83" s="44" t="str">
        <f t="shared" si="5"/>
        <v>外购设备 齿轮泵</v>
      </c>
      <c r="K83" s="43">
        <f>COUNTIF($J$2:J83,J83)</f>
        <v>1</v>
      </c>
    </row>
    <row r="84" spans="1:11">
      <c r="A84" s="47">
        <v>82</v>
      </c>
      <c r="B84" s="47">
        <f>IF(K84=1,COUNTIF($D$2:D84,D84),"")</f>
        <v>47</v>
      </c>
      <c r="C84" s="48"/>
      <c r="D84" s="47" t="s">
        <v>104</v>
      </c>
      <c r="E84" s="49"/>
      <c r="F84" s="47"/>
      <c r="G84" s="49" t="s">
        <v>277</v>
      </c>
      <c r="H84" s="47" t="s">
        <v>278</v>
      </c>
      <c r="I84" s="43" t="str">
        <f t="shared" si="6"/>
        <v>外购设备</v>
      </c>
      <c r="J84" s="44" t="str">
        <f t="shared" si="5"/>
        <v>外购设备 卧螺离心机</v>
      </c>
      <c r="K84" s="43">
        <f>COUNTIF($J$2:J84,J84)</f>
        <v>1</v>
      </c>
    </row>
    <row r="85" spans="1:11">
      <c r="A85" s="47">
        <v>83</v>
      </c>
      <c r="B85" s="47">
        <f>IF(K85=1,COUNTIF($D$2:D85,D85),"")</f>
        <v>48</v>
      </c>
      <c r="C85" s="47"/>
      <c r="D85" s="47" t="s">
        <v>104</v>
      </c>
      <c r="F85" s="47"/>
      <c r="G85" s="49" t="s">
        <v>279</v>
      </c>
      <c r="H85" s="47" t="s">
        <v>280</v>
      </c>
      <c r="I85" s="43" t="str">
        <f t="shared" si="6"/>
        <v>外购设备</v>
      </c>
      <c r="J85" s="44" t="str">
        <f t="shared" si="5"/>
        <v>外购设备 计量泵</v>
      </c>
      <c r="K85" s="43">
        <f>COUNTIF($J$2:J85,J85)</f>
        <v>1</v>
      </c>
    </row>
    <row r="86" spans="1:11">
      <c r="A86" s="47">
        <v>84</v>
      </c>
      <c r="B86" s="47">
        <f>IF(K86=1,COUNTIF($D$2:D86,D86),"")</f>
        <v>49</v>
      </c>
      <c r="C86" s="47"/>
      <c r="D86" s="47" t="s">
        <v>104</v>
      </c>
      <c r="F86" s="47"/>
      <c r="G86" s="49" t="s">
        <v>281</v>
      </c>
      <c r="H86" s="47" t="s">
        <v>282</v>
      </c>
      <c r="I86" s="43" t="str">
        <f t="shared" si="6"/>
        <v>外购设备</v>
      </c>
      <c r="J86" s="44" t="str">
        <f t="shared" si="5"/>
        <v>外购设备 离心泵</v>
      </c>
      <c r="K86" s="43">
        <f>COUNTIF($J$2:J86,J86)</f>
        <v>1</v>
      </c>
    </row>
    <row r="87" spans="1:11">
      <c r="A87" s="47">
        <v>85</v>
      </c>
      <c r="B87" s="47">
        <f>IF(K87=1,COUNTIF($D$2:D87,D87),"")</f>
        <v>50</v>
      </c>
      <c r="C87" s="47"/>
      <c r="D87" s="47" t="s">
        <v>104</v>
      </c>
      <c r="E87" s="49"/>
      <c r="F87" s="49"/>
      <c r="G87" s="49" t="s">
        <v>283</v>
      </c>
      <c r="H87" s="47" t="s">
        <v>284</v>
      </c>
      <c r="I87" s="43" t="str">
        <f t="shared" si="6"/>
        <v>外购设备</v>
      </c>
      <c r="J87" s="44" t="str">
        <f t="shared" si="5"/>
        <v>外购设备 立式多级泵</v>
      </c>
      <c r="K87" s="43">
        <f>COUNTIF($J$2:J87,J87)</f>
        <v>1</v>
      </c>
    </row>
    <row r="88" spans="1:11">
      <c r="A88" s="47">
        <v>86</v>
      </c>
      <c r="B88" s="47">
        <f>IF(K88=1,COUNTIF($D$2:D88,D88),"")</f>
        <v>51</v>
      </c>
      <c r="C88" s="47"/>
      <c r="D88" s="47" t="s">
        <v>104</v>
      </c>
      <c r="E88" s="49"/>
      <c r="F88" s="49"/>
      <c r="G88" s="49" t="s">
        <v>285</v>
      </c>
      <c r="H88" s="47" t="s">
        <v>286</v>
      </c>
      <c r="I88" s="43" t="str">
        <f t="shared" si="6"/>
        <v>外购设备</v>
      </c>
      <c r="J88" s="44" t="str">
        <f t="shared" si="5"/>
        <v>外购设备 罗茨真空泵</v>
      </c>
      <c r="K88" s="43">
        <f>COUNTIF($J$2:J88,J88)</f>
        <v>1</v>
      </c>
    </row>
    <row r="89" spans="1:11">
      <c r="A89" s="47">
        <v>87</v>
      </c>
      <c r="B89" s="47">
        <f>IF(K89=1,COUNTIF($D$2:D89,D89),"")</f>
        <v>52</v>
      </c>
      <c r="C89" s="47"/>
      <c r="D89" s="47" t="s">
        <v>104</v>
      </c>
      <c r="E89" s="49"/>
      <c r="F89" s="49"/>
      <c r="G89" s="49" t="s">
        <v>287</v>
      </c>
      <c r="H89" s="47" t="s">
        <v>288</v>
      </c>
      <c r="I89" s="43" t="str">
        <f t="shared" si="6"/>
        <v>外购设备</v>
      </c>
      <c r="J89" s="44" t="str">
        <f t="shared" si="5"/>
        <v>外购设备 螺杆泵</v>
      </c>
      <c r="K89" s="43">
        <f>COUNTIF($J$2:J89,J89)</f>
        <v>1</v>
      </c>
    </row>
    <row r="90" spans="1:11">
      <c r="A90" s="47">
        <v>88</v>
      </c>
      <c r="B90" s="47">
        <f>IF(K90=1,COUNTIF($D$2:D90,D90),"")</f>
        <v>53</v>
      </c>
      <c r="C90" s="47"/>
      <c r="D90" s="47" t="s">
        <v>104</v>
      </c>
      <c r="E90" s="49"/>
      <c r="F90" s="49"/>
      <c r="G90" s="49" t="s">
        <v>289</v>
      </c>
      <c r="H90" s="47" t="s">
        <v>290</v>
      </c>
      <c r="I90" s="43" t="str">
        <f t="shared" si="6"/>
        <v>外购设备</v>
      </c>
      <c r="J90" s="44" t="str">
        <f t="shared" si="5"/>
        <v>外购设备 屏蔽泵</v>
      </c>
      <c r="K90" s="43">
        <f>COUNTIF($J$2:J90,J90)</f>
        <v>1</v>
      </c>
    </row>
    <row r="91" spans="1:11">
      <c r="A91" s="47">
        <v>89</v>
      </c>
      <c r="B91" s="47">
        <f>IF(K91=1,COUNTIF($D$2:D91,D91),"")</f>
        <v>54</v>
      </c>
      <c r="C91" s="47"/>
      <c r="D91" s="47" t="s">
        <v>104</v>
      </c>
      <c r="E91" s="49"/>
      <c r="F91" s="49"/>
      <c r="G91" s="49" t="s">
        <v>291</v>
      </c>
      <c r="H91" s="47" t="s">
        <v>292</v>
      </c>
      <c r="I91" s="43" t="str">
        <f t="shared" si="6"/>
        <v>外购设备</v>
      </c>
      <c r="J91" s="44" t="str">
        <f t="shared" si="5"/>
        <v>外购设备 气动隔膜泵</v>
      </c>
      <c r="K91" s="43">
        <f>COUNTIF($J$2:J91,J91)</f>
        <v>1</v>
      </c>
    </row>
    <row r="92" spans="1:11">
      <c r="A92" s="47">
        <v>90</v>
      </c>
      <c r="B92" s="47">
        <f>IF(K92=1,COUNTIF($D$2:D92,D92),"")</f>
        <v>55</v>
      </c>
      <c r="C92" s="47"/>
      <c r="D92" s="47" t="s">
        <v>104</v>
      </c>
      <c r="E92" s="49"/>
      <c r="F92" s="49"/>
      <c r="G92" s="49" t="s">
        <v>293</v>
      </c>
      <c r="H92" s="47" t="s">
        <v>294</v>
      </c>
      <c r="I92" s="43" t="str">
        <f t="shared" si="6"/>
        <v>外购设备</v>
      </c>
      <c r="J92" s="44" t="str">
        <f t="shared" si="5"/>
        <v>外购设备 液环真空泵</v>
      </c>
      <c r="K92" s="43">
        <f>COUNTIF($J$2:J92,J92)</f>
        <v>1</v>
      </c>
    </row>
    <row r="93" spans="1:11">
      <c r="A93" s="47">
        <v>91</v>
      </c>
      <c r="B93" s="47">
        <f>IF(K93=1,COUNTIF($D$2:D93,D93),"")</f>
        <v>56</v>
      </c>
      <c r="C93" s="47"/>
      <c r="D93" s="47" t="s">
        <v>104</v>
      </c>
      <c r="E93" s="49"/>
      <c r="F93" s="49"/>
      <c r="G93" s="49" t="s">
        <v>295</v>
      </c>
      <c r="H93" s="47" t="s">
        <v>296</v>
      </c>
      <c r="I93" s="43" t="str">
        <f t="shared" si="6"/>
        <v>外购设备</v>
      </c>
      <c r="J93" s="44" t="str">
        <f t="shared" si="5"/>
        <v>外购设备 转子泵</v>
      </c>
      <c r="K93" s="43">
        <f>COUNTIF($J$2:J93,J93)</f>
        <v>1</v>
      </c>
    </row>
    <row r="94" spans="1:11">
      <c r="A94" s="47">
        <v>92</v>
      </c>
      <c r="B94" s="47">
        <f>IF(K94=1,COUNTIF($D$2:D94,D94),"")</f>
        <v>57</v>
      </c>
      <c r="C94" s="47"/>
      <c r="D94" s="47" t="s">
        <v>104</v>
      </c>
      <c r="E94" s="49"/>
      <c r="F94" s="49"/>
      <c r="G94" s="49" t="s">
        <v>297</v>
      </c>
      <c r="H94" s="47" t="s">
        <v>298</v>
      </c>
      <c r="I94" s="43" t="str">
        <f t="shared" si="6"/>
        <v>外购设备</v>
      </c>
      <c r="J94" s="44" t="str">
        <f t="shared" si="5"/>
        <v>外购设备 蒸汽喷射泵</v>
      </c>
      <c r="K94" s="43">
        <f>COUNTIF($J$2:J94,J94)</f>
        <v>1</v>
      </c>
    </row>
    <row r="95" spans="1:11">
      <c r="A95" s="47">
        <v>93</v>
      </c>
      <c r="B95" s="47">
        <f>IF(K95=1,COUNTIF($D$2:D95,D95),"")</f>
        <v>58</v>
      </c>
      <c r="C95" s="47"/>
      <c r="D95" s="47" t="s">
        <v>104</v>
      </c>
      <c r="E95" s="49"/>
      <c r="F95" s="49"/>
      <c r="G95" s="49" t="s">
        <v>299</v>
      </c>
      <c r="H95" s="47" t="s">
        <v>300</v>
      </c>
      <c r="I95" s="43" t="str">
        <f t="shared" si="6"/>
        <v>外购设备</v>
      </c>
      <c r="J95" s="44" t="str">
        <f t="shared" si="5"/>
        <v>外购设备 锤片粉碎机</v>
      </c>
      <c r="K95" s="43">
        <f>COUNTIF($J$2:J95,J95)</f>
        <v>1</v>
      </c>
    </row>
    <row r="96" spans="1:11">
      <c r="A96" s="47">
        <v>94</v>
      </c>
      <c r="B96" s="47">
        <f>IF(K96=1,COUNTIF($D$2:D96,D96),"")</f>
        <v>59</v>
      </c>
      <c r="C96" s="47"/>
      <c r="D96" s="47" t="s">
        <v>104</v>
      </c>
      <c r="E96" s="49"/>
      <c r="F96" s="49"/>
      <c r="G96" s="49" t="s">
        <v>301</v>
      </c>
      <c r="H96" s="47" t="s">
        <v>302</v>
      </c>
      <c r="I96" s="43" t="str">
        <f t="shared" si="6"/>
        <v>外购设备</v>
      </c>
      <c r="J96" s="44" t="str">
        <f t="shared" si="5"/>
        <v>外购设备 超微粉碎机</v>
      </c>
      <c r="K96" s="43">
        <f>COUNTIF($J$2:J96,J96)</f>
        <v>1</v>
      </c>
    </row>
    <row r="97" spans="1:11">
      <c r="A97" s="47">
        <v>95</v>
      </c>
      <c r="B97" s="47">
        <f>IF(K97=1,COUNTIF($D$2:D97,D97),"")</f>
        <v>60</v>
      </c>
      <c r="C97" s="47"/>
      <c r="D97" s="47" t="s">
        <v>104</v>
      </c>
      <c r="E97" s="49"/>
      <c r="F97" s="49"/>
      <c r="G97" s="49" t="s">
        <v>303</v>
      </c>
      <c r="H97" s="47" t="s">
        <v>304</v>
      </c>
      <c r="I97" s="43" t="str">
        <f t="shared" si="6"/>
        <v>外购设备</v>
      </c>
      <c r="J97" s="44" t="str">
        <f t="shared" si="5"/>
        <v>外购设备 包装秤</v>
      </c>
      <c r="K97" s="43">
        <f>COUNTIF($J$2:J97,J97)</f>
        <v>1</v>
      </c>
    </row>
    <row r="98" spans="1:11">
      <c r="A98" s="47">
        <v>96</v>
      </c>
      <c r="B98" s="47">
        <f>IF(K98=1,COUNTIF($D$2:D98,D98),"")</f>
        <v>61</v>
      </c>
      <c r="C98" s="47"/>
      <c r="D98" s="47" t="s">
        <v>104</v>
      </c>
      <c r="E98" s="49"/>
      <c r="F98" s="49"/>
      <c r="G98" s="49" t="s">
        <v>305</v>
      </c>
      <c r="H98" s="47" t="s">
        <v>306</v>
      </c>
      <c r="I98" s="43" t="str">
        <f t="shared" si="6"/>
        <v>外购设备</v>
      </c>
      <c r="J98" s="44" t="str">
        <f t="shared" si="5"/>
        <v>外购设备 流量秤</v>
      </c>
      <c r="K98" s="43">
        <f>COUNTIF($J$2:J98,J98)</f>
        <v>1</v>
      </c>
    </row>
    <row r="99" spans="1:11">
      <c r="A99" s="47">
        <v>97</v>
      </c>
      <c r="B99" s="47">
        <f>IF(K99=1,COUNTIF($D$2:D99,D99),"")</f>
        <v>62</v>
      </c>
      <c r="C99" s="47"/>
      <c r="D99" s="47" t="s">
        <v>104</v>
      </c>
      <c r="E99" s="49"/>
      <c r="F99" s="49"/>
      <c r="G99" s="49" t="s">
        <v>307</v>
      </c>
      <c r="H99" s="47" t="s">
        <v>308</v>
      </c>
      <c r="I99" s="43" t="str">
        <f t="shared" si="6"/>
        <v>外购设备</v>
      </c>
      <c r="J99" s="44" t="str">
        <f t="shared" si="5"/>
        <v>外购设备 气动秤斗门</v>
      </c>
      <c r="K99" s="43">
        <f>COUNTIF($J$2:J99,J99)</f>
        <v>1</v>
      </c>
    </row>
    <row r="100" spans="1:11">
      <c r="A100" s="47">
        <v>98</v>
      </c>
      <c r="B100" s="47">
        <f>IF(K100=1,COUNTIF($D$2:D100,D100),"")</f>
        <v>63</v>
      </c>
      <c r="C100" s="47"/>
      <c r="D100" s="47" t="s">
        <v>104</v>
      </c>
      <c r="E100" s="49"/>
      <c r="F100" s="49"/>
      <c r="G100" s="49" t="s">
        <v>309</v>
      </c>
      <c r="H100" s="47" t="s">
        <v>310</v>
      </c>
      <c r="I100" s="43" t="str">
        <f t="shared" si="6"/>
        <v>外购设备</v>
      </c>
      <c r="J100" s="44" t="str">
        <f t="shared" si="5"/>
        <v>外购设备 皮带秤</v>
      </c>
      <c r="K100" s="43">
        <f>COUNTIF($J$2:J100,J100)</f>
        <v>1</v>
      </c>
    </row>
    <row r="101" spans="1:11">
      <c r="A101" s="47">
        <v>99</v>
      </c>
      <c r="B101" s="47">
        <f>IF(K101=1,COUNTIF($D$2:D101,D101),"")</f>
        <v>64</v>
      </c>
      <c r="C101" s="47"/>
      <c r="D101" s="47" t="s">
        <v>104</v>
      </c>
      <c r="E101" s="49"/>
      <c r="F101" s="49"/>
      <c r="G101" s="49" t="s">
        <v>311</v>
      </c>
      <c r="H101" s="47" t="s">
        <v>312</v>
      </c>
      <c r="I101" s="43" t="str">
        <f t="shared" si="6"/>
        <v>外购设备</v>
      </c>
      <c r="J101" s="44" t="str">
        <f t="shared" si="5"/>
        <v>外购设备 电动葫芦</v>
      </c>
      <c r="K101" s="43">
        <f>COUNTIF($J$2:J101,J101)</f>
        <v>1</v>
      </c>
    </row>
    <row r="102" spans="1:11">
      <c r="A102" s="47">
        <v>100</v>
      </c>
      <c r="B102" s="47">
        <f>IF(K102=1,COUNTIF($D$2:D102,D102),"")</f>
        <v>65</v>
      </c>
      <c r="C102" s="47"/>
      <c r="D102" s="47" t="s">
        <v>104</v>
      </c>
      <c r="E102" s="49"/>
      <c r="F102" s="49"/>
      <c r="G102" s="49" t="s">
        <v>313</v>
      </c>
      <c r="H102" s="47" t="s">
        <v>314</v>
      </c>
      <c r="I102" s="43" t="str">
        <f t="shared" si="6"/>
        <v>外购设备</v>
      </c>
      <c r="J102" s="44" t="str">
        <f t="shared" si="5"/>
        <v>外购设备 手动葫芦</v>
      </c>
      <c r="K102" s="43">
        <f>COUNTIF($J$2:J102,J102)</f>
        <v>1</v>
      </c>
    </row>
    <row r="103" spans="1:11">
      <c r="A103" s="47">
        <v>101</v>
      </c>
      <c r="B103" s="47">
        <f>IF(K103=1,COUNTIF($D$2:D103,D103),"")</f>
        <v>66</v>
      </c>
      <c r="C103" s="47"/>
      <c r="D103" s="47" t="s">
        <v>104</v>
      </c>
      <c r="E103" s="49"/>
      <c r="F103" s="49"/>
      <c r="G103" s="49" t="s">
        <v>315</v>
      </c>
      <c r="H103" s="47" t="s">
        <v>316</v>
      </c>
      <c r="I103" s="43" t="str">
        <f t="shared" si="6"/>
        <v>外购设备</v>
      </c>
      <c r="J103" s="44" t="str">
        <f t="shared" si="5"/>
        <v>外购设备 提升机</v>
      </c>
      <c r="K103" s="43">
        <f>COUNTIF($J$2:J103,J103)</f>
        <v>1</v>
      </c>
    </row>
    <row r="104" spans="1:11">
      <c r="A104" s="47">
        <v>102</v>
      </c>
      <c r="B104" s="47">
        <f>IF(K104=1,COUNTIF($D$2:D104,D104),"")</f>
        <v>67</v>
      </c>
      <c r="C104" s="47"/>
      <c r="D104" s="47" t="s">
        <v>104</v>
      </c>
      <c r="E104" s="49"/>
      <c r="F104" s="49"/>
      <c r="G104" s="49" t="s">
        <v>317</v>
      </c>
      <c r="H104" s="47" t="s">
        <v>318</v>
      </c>
      <c r="I104" s="43" t="str">
        <f t="shared" si="6"/>
        <v>外购设备</v>
      </c>
      <c r="J104" s="44" t="str">
        <f t="shared" si="5"/>
        <v>外购设备 刮板输送机</v>
      </c>
      <c r="K104" s="43">
        <f>COUNTIF($J$2:J104,J104)</f>
        <v>1</v>
      </c>
    </row>
    <row r="105" spans="1:11">
      <c r="A105" s="47">
        <v>103</v>
      </c>
      <c r="B105" s="47">
        <f>IF(K105=1,COUNTIF($D$2:D105,D105),"")</f>
        <v>68</v>
      </c>
      <c r="C105" s="47"/>
      <c r="D105" s="47" t="s">
        <v>104</v>
      </c>
      <c r="E105" s="49"/>
      <c r="F105" s="49"/>
      <c r="G105" s="49" t="s">
        <v>319</v>
      </c>
      <c r="H105" s="47" t="s">
        <v>320</v>
      </c>
      <c r="I105" s="43" t="str">
        <f t="shared" si="6"/>
        <v>外购设备</v>
      </c>
      <c r="J105" s="44" t="str">
        <f t="shared" si="5"/>
        <v>外购设备 螺旋输送机</v>
      </c>
      <c r="K105" s="43">
        <f>COUNTIF($J$2:J105,J105)</f>
        <v>1</v>
      </c>
    </row>
    <row r="106" spans="1:11">
      <c r="A106" s="47">
        <v>104</v>
      </c>
      <c r="B106" s="47">
        <f>IF(K106=1,COUNTIF($D$2:D106,D106),"")</f>
        <v>69</v>
      </c>
      <c r="C106" s="48"/>
      <c r="D106" s="47" t="s">
        <v>104</v>
      </c>
      <c r="E106" s="49"/>
      <c r="F106" s="49"/>
      <c r="G106" s="49" t="s">
        <v>321</v>
      </c>
      <c r="H106" s="47" t="s">
        <v>322</v>
      </c>
      <c r="I106" s="43" t="str">
        <f t="shared" si="6"/>
        <v>外购设备</v>
      </c>
      <c r="J106" s="44" t="str">
        <f t="shared" si="5"/>
        <v>外购设备 皮带输送机</v>
      </c>
      <c r="K106" s="43">
        <f>COUNTIF($J$2:J106,J106)</f>
        <v>1</v>
      </c>
    </row>
    <row r="107" spans="1:11">
      <c r="A107" s="47">
        <v>105</v>
      </c>
      <c r="B107" s="47">
        <f>IF(K107=1,COUNTIF($D$2:D107,D107),"")</f>
        <v>70</v>
      </c>
      <c r="C107" s="48"/>
      <c r="D107" s="47" t="s">
        <v>104</v>
      </c>
      <c r="E107" s="49"/>
      <c r="F107" s="49"/>
      <c r="G107" s="49" t="s">
        <v>323</v>
      </c>
      <c r="H107" s="47" t="s">
        <v>324</v>
      </c>
      <c r="I107" s="43" t="str">
        <f t="shared" si="6"/>
        <v>外购设备</v>
      </c>
      <c r="J107" s="44" t="str">
        <f t="shared" si="5"/>
        <v>外购设备 静态混合器</v>
      </c>
      <c r="K107" s="43">
        <f>COUNTIF($J$2:J107,J107)</f>
        <v>1</v>
      </c>
    </row>
    <row r="108" spans="1:11">
      <c r="A108" s="47">
        <v>106</v>
      </c>
      <c r="B108" s="47">
        <f>IF(K108=1,COUNTIF($D$2:D108,D108),"")</f>
        <v>71</v>
      </c>
      <c r="C108" s="48"/>
      <c r="D108" s="47" t="s">
        <v>104</v>
      </c>
      <c r="E108" s="49"/>
      <c r="F108" s="49"/>
      <c r="G108" s="49" t="s">
        <v>325</v>
      </c>
      <c r="H108" s="47" t="s">
        <v>326</v>
      </c>
      <c r="I108" s="43" t="str">
        <f t="shared" si="6"/>
        <v>外购设备</v>
      </c>
      <c r="J108" s="44" t="str">
        <f t="shared" si="5"/>
        <v>外购设备 翻板冷却器</v>
      </c>
      <c r="K108" s="43">
        <f>COUNTIF($J$2:J108,J108)</f>
        <v>1</v>
      </c>
    </row>
    <row r="109" spans="1:11">
      <c r="A109" s="47">
        <v>107</v>
      </c>
      <c r="B109" s="47">
        <f>IF(K109=1,COUNTIF($D$2:D109,D109),"")</f>
        <v>72</v>
      </c>
      <c r="C109" s="48"/>
      <c r="D109" s="47" t="s">
        <v>104</v>
      </c>
      <c r="E109" s="49"/>
      <c r="F109" s="49"/>
      <c r="G109" s="49" t="s">
        <v>327</v>
      </c>
      <c r="H109" s="47" t="s">
        <v>328</v>
      </c>
      <c r="I109" s="43" t="str">
        <f t="shared" si="6"/>
        <v>外购设备</v>
      </c>
      <c r="J109" s="44" t="str">
        <f t="shared" si="5"/>
        <v>外购设备 冷却塔</v>
      </c>
      <c r="K109" s="43">
        <f>COUNTIF($J$2:J109,J109)</f>
        <v>1</v>
      </c>
    </row>
    <row r="110" spans="1:11">
      <c r="A110" s="47">
        <v>108</v>
      </c>
      <c r="B110" s="47">
        <f>IF(K110=1,COUNTIF($D$2:D110,D110),"")</f>
        <v>73</v>
      </c>
      <c r="C110" s="48"/>
      <c r="D110" s="47" t="s">
        <v>104</v>
      </c>
      <c r="E110" s="49"/>
      <c r="F110" s="49"/>
      <c r="G110" s="49" t="s">
        <v>329</v>
      </c>
      <c r="H110" s="47" t="s">
        <v>330</v>
      </c>
      <c r="I110" s="43" t="str">
        <f t="shared" si="6"/>
        <v>外购设备</v>
      </c>
      <c r="J110" s="44" t="str">
        <f t="shared" si="5"/>
        <v>外购设备 风机</v>
      </c>
      <c r="K110" s="43">
        <f>COUNTIF($J$2:J110,J110)</f>
        <v>1</v>
      </c>
    </row>
    <row r="111" spans="1:11">
      <c r="A111" s="47">
        <v>109</v>
      </c>
      <c r="B111" s="47">
        <f>IF(K111=1,COUNTIF($D$2:D111,D111),"")</f>
        <v>74</v>
      </c>
      <c r="C111" s="48"/>
      <c r="D111" s="47" t="s">
        <v>104</v>
      </c>
      <c r="E111" s="49"/>
      <c r="F111" s="49"/>
      <c r="G111" s="49" t="s">
        <v>331</v>
      </c>
      <c r="H111" s="47" t="s">
        <v>332</v>
      </c>
      <c r="I111" s="43" t="str">
        <f t="shared" si="6"/>
        <v>外购设备</v>
      </c>
      <c r="J111" s="44" t="str">
        <f t="shared" si="5"/>
        <v>外购设备 罗茨风机</v>
      </c>
      <c r="K111" s="43">
        <f>COUNTIF($J$2:J111,J111)</f>
        <v>1</v>
      </c>
    </row>
    <row r="112" spans="1:11">
      <c r="A112" s="47">
        <v>110</v>
      </c>
      <c r="B112" s="47">
        <f>IF(K112=1,COUNTIF($D$2:D112,D112),"")</f>
        <v>75</v>
      </c>
      <c r="C112" s="48"/>
      <c r="D112" s="47" t="s">
        <v>104</v>
      </c>
      <c r="E112" s="49"/>
      <c r="F112" s="49"/>
      <c r="G112" s="49" t="s">
        <v>333</v>
      </c>
      <c r="H112" s="47" t="s">
        <v>334</v>
      </c>
      <c r="I112" s="43" t="str">
        <f t="shared" si="6"/>
        <v>外购设备</v>
      </c>
      <c r="J112" s="44" t="str">
        <f t="shared" si="5"/>
        <v>外购设备 蒸汽锅炉</v>
      </c>
      <c r="K112" s="43">
        <f>COUNTIF($J$2:J112,J112)</f>
        <v>1</v>
      </c>
    </row>
    <row r="113" spans="1:11">
      <c r="A113" s="47">
        <v>111</v>
      </c>
      <c r="B113" s="47">
        <f>IF(K113=1,COUNTIF($D$2:D113,D113),"")</f>
        <v>76</v>
      </c>
      <c r="C113" s="48"/>
      <c r="D113" s="47" t="s">
        <v>104</v>
      </c>
      <c r="E113" s="49"/>
      <c r="F113" s="49"/>
      <c r="G113" s="49" t="s">
        <v>335</v>
      </c>
      <c r="H113" s="47" t="s">
        <v>336</v>
      </c>
      <c r="I113" s="43" t="str">
        <f t="shared" si="6"/>
        <v>外购设备</v>
      </c>
      <c r="J113" s="44" t="str">
        <f t="shared" si="5"/>
        <v>外购设备 立式叶片过滤机</v>
      </c>
      <c r="K113" s="43">
        <f>COUNTIF($J$2:J113,J113)</f>
        <v>1</v>
      </c>
    </row>
    <row r="114" spans="1:11">
      <c r="A114" s="47">
        <v>112</v>
      </c>
      <c r="B114" s="47">
        <f>IF(K114=1,COUNTIF($D$2:D114,D114),"")</f>
        <v>77</v>
      </c>
      <c r="C114" s="48"/>
      <c r="D114" s="47" t="s">
        <v>104</v>
      </c>
      <c r="E114" s="49"/>
      <c r="F114" s="49"/>
      <c r="G114" s="49" t="s">
        <v>337</v>
      </c>
      <c r="H114" s="47" t="s">
        <v>338</v>
      </c>
      <c r="I114" s="43" t="str">
        <f t="shared" si="6"/>
        <v>外购设备</v>
      </c>
      <c r="J114" s="44" t="str">
        <f t="shared" si="5"/>
        <v>外购设备 袋式过滤机</v>
      </c>
      <c r="K114" s="43">
        <f>COUNTIF($J$2:J114,J114)</f>
        <v>1</v>
      </c>
    </row>
    <row r="115" spans="1:11">
      <c r="A115" s="47">
        <v>113</v>
      </c>
      <c r="B115" s="47">
        <f>IF(K115=1,COUNTIF($D$2:D115,D115),"")</f>
        <v>78</v>
      </c>
      <c r="C115" s="48"/>
      <c r="D115" s="47" t="s">
        <v>104</v>
      </c>
      <c r="E115" s="49"/>
      <c r="F115" s="49"/>
      <c r="G115" s="49" t="s">
        <v>339</v>
      </c>
      <c r="H115" s="47" t="s">
        <v>340</v>
      </c>
      <c r="I115" s="43" t="str">
        <f t="shared" si="6"/>
        <v>外购设备</v>
      </c>
      <c r="J115" s="44" t="str">
        <f t="shared" si="5"/>
        <v>外购设备 篮式过滤器</v>
      </c>
      <c r="K115" s="43">
        <f>COUNTIF($J$2:J115,J115)</f>
        <v>1</v>
      </c>
    </row>
    <row r="116" spans="1:11">
      <c r="A116" s="47">
        <v>114</v>
      </c>
      <c r="B116" s="47">
        <f>IF(K116=1,COUNTIF($D$2:D116,D116),"")</f>
        <v>79</v>
      </c>
      <c r="C116" s="48"/>
      <c r="D116" s="47" t="s">
        <v>104</v>
      </c>
      <c r="E116" s="49"/>
      <c r="F116" s="49"/>
      <c r="G116" s="49" t="s">
        <v>341</v>
      </c>
      <c r="H116" s="47" t="s">
        <v>342</v>
      </c>
      <c r="I116" s="43" t="str">
        <f t="shared" si="6"/>
        <v>外购设备</v>
      </c>
      <c r="J116" s="44" t="str">
        <f t="shared" si="5"/>
        <v>外购设备 烛式过滤机</v>
      </c>
      <c r="K116" s="43">
        <f>COUNTIF($J$2:J116,J116)</f>
        <v>1</v>
      </c>
    </row>
    <row r="117" spans="1:11">
      <c r="A117" s="47">
        <v>115</v>
      </c>
      <c r="B117" s="47">
        <f>IF(K117=1,COUNTIF($D$2:D117,D117),"")</f>
        <v>80</v>
      </c>
      <c r="C117" s="48"/>
      <c r="D117" s="47" t="s">
        <v>104</v>
      </c>
      <c r="E117" s="49"/>
      <c r="F117" s="49"/>
      <c r="G117" s="49" t="s">
        <v>343</v>
      </c>
      <c r="H117" s="47" t="s">
        <v>344</v>
      </c>
      <c r="I117" s="43" t="str">
        <f t="shared" si="6"/>
        <v>外购设备</v>
      </c>
      <c r="J117" s="44" t="str">
        <f t="shared" si="5"/>
        <v>外购设备 纸板过滤机</v>
      </c>
      <c r="K117" s="43">
        <f>COUNTIF($J$2:J117,J117)</f>
        <v>1</v>
      </c>
    </row>
    <row r="118" spans="1:11">
      <c r="A118" s="47">
        <v>116</v>
      </c>
      <c r="B118" s="47">
        <f>IF(K118=1,COUNTIF($D$2:D118,D118),"")</f>
        <v>81</v>
      </c>
      <c r="C118" s="48"/>
      <c r="D118" s="47" t="s">
        <v>104</v>
      </c>
      <c r="E118" s="49"/>
      <c r="F118" s="49"/>
      <c r="G118" s="49" t="s">
        <v>345</v>
      </c>
      <c r="H118" s="47" t="s">
        <v>346</v>
      </c>
      <c r="I118" s="43" t="str">
        <f t="shared" si="6"/>
        <v>外购设备</v>
      </c>
      <c r="J118" s="44" t="str">
        <f t="shared" si="5"/>
        <v>外购设备 减菌过滤器</v>
      </c>
      <c r="K118" s="43">
        <f>COUNTIF($J$2:J118,J118)</f>
        <v>1</v>
      </c>
    </row>
    <row r="119" spans="1:11">
      <c r="A119" s="47">
        <v>117</v>
      </c>
      <c r="B119" s="47">
        <f>IF(K119=1,COUNTIF($D$2:D119,D119),"")</f>
        <v>82</v>
      </c>
      <c r="C119" s="48"/>
      <c r="D119" s="47" t="s">
        <v>104</v>
      </c>
      <c r="E119" s="49"/>
      <c r="F119" s="49"/>
      <c r="G119" s="49" t="s">
        <v>347</v>
      </c>
      <c r="H119" s="47" t="s">
        <v>348</v>
      </c>
      <c r="I119" s="43" t="str">
        <f t="shared" si="6"/>
        <v>外购设备</v>
      </c>
      <c r="J119" s="44" t="str">
        <f t="shared" si="5"/>
        <v>外购设备 碟片离心机</v>
      </c>
      <c r="K119" s="43">
        <f>COUNTIF($J$2:J119,J119)</f>
        <v>1</v>
      </c>
    </row>
    <row r="120" spans="1:11">
      <c r="A120" s="47">
        <v>118</v>
      </c>
      <c r="B120" s="47">
        <f>IF(K120=1,COUNTIF($D$2:D120,D120),"")</f>
        <v>83</v>
      </c>
      <c r="C120" s="48"/>
      <c r="D120" s="47" t="s">
        <v>104</v>
      </c>
      <c r="E120" s="49"/>
      <c r="F120" s="49"/>
      <c r="G120" s="49" t="s">
        <v>349</v>
      </c>
      <c r="H120" s="47" t="s">
        <v>350</v>
      </c>
      <c r="I120" s="43" t="str">
        <f t="shared" si="6"/>
        <v>外购设备</v>
      </c>
      <c r="J120" s="44" t="str">
        <f t="shared" si="5"/>
        <v>外购设备 真空转鼓过滤机</v>
      </c>
      <c r="K120" s="43">
        <f>COUNTIF($J$2:J120,J120)</f>
        <v>1</v>
      </c>
    </row>
    <row r="121" spans="1:11">
      <c r="A121" s="47">
        <v>119</v>
      </c>
      <c r="B121" s="47">
        <f>IF(K121=1,COUNTIF($D$2:D121,D121),"")</f>
        <v>84</v>
      </c>
      <c r="C121" s="48"/>
      <c r="D121" s="47" t="s">
        <v>104</v>
      </c>
      <c r="E121" s="49"/>
      <c r="F121" s="49"/>
      <c r="G121" s="49" t="s">
        <v>351</v>
      </c>
      <c r="H121" s="47" t="s">
        <v>352</v>
      </c>
      <c r="I121" s="43" t="str">
        <f t="shared" si="6"/>
        <v>外购设备</v>
      </c>
      <c r="J121" s="44" t="str">
        <f t="shared" si="5"/>
        <v>外购设备 关风器</v>
      </c>
      <c r="K121" s="43">
        <f>COUNTIF($J$2:J121,J121)</f>
        <v>1</v>
      </c>
    </row>
    <row r="122" spans="1:11">
      <c r="A122" s="47">
        <v>120</v>
      </c>
      <c r="B122" s="47">
        <f>IF(K122=1,COUNTIF($D$2:D122,D122),"")</f>
        <v>85</v>
      </c>
      <c r="C122" s="48"/>
      <c r="D122" s="47" t="s">
        <v>104</v>
      </c>
      <c r="E122" s="49"/>
      <c r="F122" s="49"/>
      <c r="G122" s="49" t="s">
        <v>353</v>
      </c>
      <c r="H122" s="47" t="s">
        <v>354</v>
      </c>
      <c r="I122" s="43" t="str">
        <f t="shared" si="6"/>
        <v>外购设备</v>
      </c>
      <c r="J122" s="44" t="str">
        <f t="shared" si="5"/>
        <v>外购设备 圆筒初清筛</v>
      </c>
      <c r="K122" s="43">
        <f>COUNTIF($J$2:J122,J122)</f>
        <v>1</v>
      </c>
    </row>
    <row r="123" spans="1:11">
      <c r="A123" s="47">
        <v>121</v>
      </c>
      <c r="B123" s="47">
        <f>IF(K123=1,COUNTIF($D$2:D123,D123),"")</f>
        <v>86</v>
      </c>
      <c r="C123" s="48"/>
      <c r="D123" s="47" t="s">
        <v>104</v>
      </c>
      <c r="E123" s="49"/>
      <c r="F123" s="49"/>
      <c r="G123" s="49" t="s">
        <v>355</v>
      </c>
      <c r="H123" s="47" t="s">
        <v>356</v>
      </c>
      <c r="I123" s="43" t="str">
        <f t="shared" si="6"/>
        <v>外购设备</v>
      </c>
      <c r="J123" s="44" t="str">
        <f t="shared" si="5"/>
        <v>外购设备 滚筒磁选器</v>
      </c>
      <c r="K123" s="43">
        <f>COUNTIF($J$2:J123,J123)</f>
        <v>1</v>
      </c>
    </row>
    <row r="124" spans="1:11">
      <c r="A124" s="47">
        <v>122</v>
      </c>
      <c r="B124" s="47">
        <f>IF(K124=1,COUNTIF($D$2:D124,D124),"")</f>
        <v>87</v>
      </c>
      <c r="C124" s="48"/>
      <c r="D124" s="47" t="s">
        <v>104</v>
      </c>
      <c r="E124" s="49"/>
      <c r="F124" s="49"/>
      <c r="G124" s="49" t="s">
        <v>357</v>
      </c>
      <c r="H124" s="47" t="s">
        <v>358</v>
      </c>
      <c r="I124" s="43" t="str">
        <f t="shared" si="6"/>
        <v>外购设备</v>
      </c>
      <c r="J124" s="44" t="str">
        <f t="shared" si="5"/>
        <v>外购设备 平面回转筛</v>
      </c>
      <c r="K124" s="43">
        <f>COUNTIF($J$2:J124,J124)</f>
        <v>1</v>
      </c>
    </row>
    <row r="125" spans="1:11">
      <c r="A125" s="47">
        <v>123</v>
      </c>
      <c r="B125" s="47">
        <f>IF(K125=1,COUNTIF($D$2:D125,D125),"")</f>
        <v>88</v>
      </c>
      <c r="C125" s="48"/>
      <c r="D125" s="47" t="s">
        <v>104</v>
      </c>
      <c r="E125" s="49"/>
      <c r="F125" s="49"/>
      <c r="G125" s="49" t="s">
        <v>359</v>
      </c>
      <c r="H125" s="47" t="s">
        <v>360</v>
      </c>
      <c r="I125" s="43" t="str">
        <f t="shared" si="6"/>
        <v>外购设备</v>
      </c>
      <c r="J125" s="44" t="str">
        <f t="shared" ref="J125:J165" si="7">CONCATENATE(I125," ",G125)</f>
        <v>外购设备 去石机</v>
      </c>
      <c r="K125" s="43">
        <f>COUNTIF($J$2:J125,J125)</f>
        <v>1</v>
      </c>
    </row>
    <row r="126" spans="1:11">
      <c r="A126" s="47">
        <v>124</v>
      </c>
      <c r="B126" s="47">
        <f>IF(K126=1,COUNTIF($D$2:D126,D126),"")</f>
        <v>89</v>
      </c>
      <c r="C126" s="48"/>
      <c r="D126" s="47" t="s">
        <v>104</v>
      </c>
      <c r="E126" s="49"/>
      <c r="F126" s="49"/>
      <c r="G126" s="49" t="s">
        <v>361</v>
      </c>
      <c r="H126" s="47" t="s">
        <v>362</v>
      </c>
      <c r="I126" s="43" t="str">
        <f t="shared" si="6"/>
        <v>外购设备</v>
      </c>
      <c r="J126" s="44" t="str">
        <f t="shared" si="7"/>
        <v>外购设备 永磁筒</v>
      </c>
      <c r="K126" s="43">
        <f>COUNTIF($J$2:J126,J126)</f>
        <v>1</v>
      </c>
    </row>
    <row r="127" spans="1:11">
      <c r="A127" s="47">
        <v>125</v>
      </c>
      <c r="B127" s="47">
        <f>IF(K127=1,COUNTIF($D$2:D127,D127),"")</f>
        <v>90</v>
      </c>
      <c r="C127" s="48"/>
      <c r="D127" s="47" t="s">
        <v>104</v>
      </c>
      <c r="E127" s="49"/>
      <c r="F127" s="49"/>
      <c r="G127" s="49" t="s">
        <v>363</v>
      </c>
      <c r="H127" s="47" t="s">
        <v>364</v>
      </c>
      <c r="I127" s="43" t="str">
        <f t="shared" si="6"/>
        <v>外购设备</v>
      </c>
      <c r="J127" s="44" t="str">
        <f t="shared" si="7"/>
        <v>外购设备 振动筛</v>
      </c>
      <c r="K127" s="43">
        <f>COUNTIF($J$2:J127,J127)</f>
        <v>1</v>
      </c>
    </row>
    <row r="128" spans="1:11">
      <c r="A128" s="47">
        <v>126</v>
      </c>
      <c r="B128" s="47">
        <f>IF(K128=1,COUNTIF($D$2:D128,D128),"")</f>
        <v>91</v>
      </c>
      <c r="C128" s="48"/>
      <c r="D128" s="47" t="s">
        <v>104</v>
      </c>
      <c r="E128" s="49"/>
      <c r="F128" s="49"/>
      <c r="G128" s="49" t="s">
        <v>365</v>
      </c>
      <c r="H128" s="47" t="s">
        <v>366</v>
      </c>
      <c r="I128" s="43" t="str">
        <f t="shared" si="6"/>
        <v>外购设备</v>
      </c>
      <c r="J128" s="44" t="str">
        <f t="shared" si="7"/>
        <v>外购设备 挑担平筛</v>
      </c>
      <c r="K128" s="43">
        <f>COUNTIF($J$2:J128,J128)</f>
        <v>1</v>
      </c>
    </row>
    <row r="129" spans="1:11">
      <c r="A129" s="47">
        <v>127</v>
      </c>
      <c r="B129" s="47">
        <f>IF(K129=1,COUNTIF($D$2:D129,D129),"")</f>
        <v>92</v>
      </c>
      <c r="C129" s="48"/>
      <c r="D129" s="47" t="s">
        <v>104</v>
      </c>
      <c r="E129" s="49"/>
      <c r="F129" s="49"/>
      <c r="G129" s="49" t="s">
        <v>367</v>
      </c>
      <c r="H129" s="47" t="s">
        <v>368</v>
      </c>
      <c r="I129" s="43" t="str">
        <f t="shared" si="6"/>
        <v>外购设备</v>
      </c>
      <c r="J129" s="44" t="str">
        <f t="shared" si="7"/>
        <v>外购设备 脉冲除尘器</v>
      </c>
      <c r="K129" s="43">
        <f>COUNTIF($J$2:J129,J129)</f>
        <v>1</v>
      </c>
    </row>
    <row r="130" spans="1:11">
      <c r="A130" s="47">
        <v>128</v>
      </c>
      <c r="B130" s="47">
        <f>IF(K130=1,COUNTIF($D$2:D130,D130),"")</f>
        <v>93</v>
      </c>
      <c r="C130" s="48"/>
      <c r="D130" s="47" t="s">
        <v>104</v>
      </c>
      <c r="E130" s="49"/>
      <c r="F130" s="49"/>
      <c r="G130" s="49" t="s">
        <v>369</v>
      </c>
      <c r="H130" s="47" t="s">
        <v>370</v>
      </c>
      <c r="I130" s="43" t="str">
        <f t="shared" si="6"/>
        <v>外购设备</v>
      </c>
      <c r="J130" s="44" t="str">
        <f t="shared" si="7"/>
        <v>外购设备 真空系统</v>
      </c>
      <c r="K130" s="43">
        <f>COUNTIF($J$2:J130,J130)</f>
        <v>1</v>
      </c>
    </row>
    <row r="131" spans="1:11">
      <c r="A131" s="47">
        <v>129</v>
      </c>
      <c r="B131" s="47">
        <f>IF(K131=1,COUNTIF($D$2:D131,D131),"")</f>
        <v>94</v>
      </c>
      <c r="C131" s="48"/>
      <c r="D131" s="47" t="s">
        <v>104</v>
      </c>
      <c r="E131" s="49"/>
      <c r="F131" s="49"/>
      <c r="G131" s="49" t="s">
        <v>371</v>
      </c>
      <c r="H131" s="47" t="s">
        <v>372</v>
      </c>
      <c r="I131" s="43" t="str">
        <f t="shared" si="6"/>
        <v>外购设备</v>
      </c>
      <c r="J131" s="44" t="str">
        <f t="shared" si="7"/>
        <v>外购设备 储气罐</v>
      </c>
      <c r="K131" s="43">
        <f>COUNTIF($J$2:J131,J131)</f>
        <v>1</v>
      </c>
    </row>
    <row r="132" spans="1:11">
      <c r="A132" s="47">
        <v>130</v>
      </c>
      <c r="B132" s="47">
        <f>IF(K132=1,COUNTIF($D$2:D132,D132),"")</f>
        <v>95</v>
      </c>
      <c r="C132" s="48"/>
      <c r="D132" s="47" t="s">
        <v>104</v>
      </c>
      <c r="E132" s="49"/>
      <c r="F132" s="49"/>
      <c r="G132" s="49" t="s">
        <v>373</v>
      </c>
      <c r="H132" s="47" t="s">
        <v>374</v>
      </c>
      <c r="I132" s="43" t="str">
        <f t="shared" si="6"/>
        <v>外购设备</v>
      </c>
      <c r="J132" s="44" t="str">
        <f t="shared" si="7"/>
        <v>外购设备 空压机</v>
      </c>
      <c r="K132" s="43">
        <f>COUNTIF($J$2:J132,J132)</f>
        <v>1</v>
      </c>
    </row>
    <row r="133" spans="1:11">
      <c r="A133" s="47">
        <v>131</v>
      </c>
      <c r="B133" s="47">
        <f>IF(K133=1,COUNTIF($D$2:D133,D133),"")</f>
        <v>96</v>
      </c>
      <c r="C133" s="48"/>
      <c r="D133" s="47" t="s">
        <v>104</v>
      </c>
      <c r="E133" s="49"/>
      <c r="F133" s="49"/>
      <c r="G133" s="49" t="s">
        <v>375</v>
      </c>
      <c r="H133" s="47" t="s">
        <v>376</v>
      </c>
      <c r="I133" s="43" t="str">
        <f t="shared" ref="I133:I158" si="8">IF(COUNTA(C133)=1,C133,I132)</f>
        <v>外购设备</v>
      </c>
      <c r="J133" s="44" t="str">
        <f t="shared" si="7"/>
        <v>外购设备 空压机过滤器</v>
      </c>
      <c r="K133" s="43">
        <f>COUNTIF($J$2:J133,J133)</f>
        <v>1</v>
      </c>
    </row>
    <row r="134" spans="1:11">
      <c r="A134" s="47">
        <v>132</v>
      </c>
      <c r="B134" s="47">
        <f>IF(K134=1,COUNTIF($D$2:D134,D134),"")</f>
        <v>97</v>
      </c>
      <c r="C134" s="48"/>
      <c r="D134" s="47" t="s">
        <v>104</v>
      </c>
      <c r="E134" s="49"/>
      <c r="F134" s="49"/>
      <c r="G134" s="49" t="s">
        <v>377</v>
      </c>
      <c r="H134" s="47" t="s">
        <v>378</v>
      </c>
      <c r="I134" s="43" t="str">
        <f t="shared" si="8"/>
        <v>外购设备</v>
      </c>
      <c r="J134" s="44" t="str">
        <f t="shared" si="7"/>
        <v>外购设备 压缩空气干燥机</v>
      </c>
      <c r="K134" s="43">
        <f>COUNTIF($J$2:J134,J134)</f>
        <v>1</v>
      </c>
    </row>
    <row r="135" spans="1:11">
      <c r="A135" s="47">
        <v>133</v>
      </c>
      <c r="B135" s="47">
        <f>IF(K135=1,COUNTIF($D$2:D135,D135),"")</f>
        <v>98</v>
      </c>
      <c r="C135" s="48"/>
      <c r="D135" s="47" t="s">
        <v>104</v>
      </c>
      <c r="E135" s="49"/>
      <c r="F135" s="49"/>
      <c r="G135" s="49" t="s">
        <v>379</v>
      </c>
      <c r="H135" s="47" t="s">
        <v>380</v>
      </c>
      <c r="I135" s="43" t="str">
        <f t="shared" si="8"/>
        <v>外购设备</v>
      </c>
      <c r="J135" s="44" t="str">
        <f t="shared" si="7"/>
        <v>外购设备 电动闸门</v>
      </c>
      <c r="K135" s="43">
        <f>COUNTIF($J$2:J135,J135)</f>
        <v>1</v>
      </c>
    </row>
    <row r="136" spans="1:11">
      <c r="A136" s="47">
        <v>134</v>
      </c>
      <c r="B136" s="47">
        <f>IF(K136=1,COUNTIF($D$2:D136,D136),"")</f>
        <v>99</v>
      </c>
      <c r="C136" s="48"/>
      <c r="D136" s="47" t="s">
        <v>104</v>
      </c>
      <c r="E136" s="49"/>
      <c r="F136" s="49"/>
      <c r="G136" s="49" t="s">
        <v>381</v>
      </c>
      <c r="H136" s="47" t="s">
        <v>382</v>
      </c>
      <c r="I136" s="43" t="str">
        <f t="shared" si="8"/>
        <v>外购设备</v>
      </c>
      <c r="J136" s="44" t="str">
        <f t="shared" si="7"/>
        <v>外购设备 气动闸门</v>
      </c>
      <c r="K136" s="43">
        <f>COUNTIF($J$2:J136,J136)</f>
        <v>1</v>
      </c>
    </row>
    <row r="137" spans="1:11">
      <c r="A137" s="47">
        <v>135</v>
      </c>
      <c r="B137" s="47">
        <f>IF(K137=1,COUNTIF($D$2:D137,D137),"")</f>
        <v>100</v>
      </c>
      <c r="C137" s="48"/>
      <c r="D137" s="47" t="s">
        <v>104</v>
      </c>
      <c r="E137" s="49"/>
      <c r="F137" s="49"/>
      <c r="G137" s="49" t="s">
        <v>383</v>
      </c>
      <c r="H137" s="47" t="s">
        <v>384</v>
      </c>
      <c r="I137" s="43" t="str">
        <f t="shared" si="8"/>
        <v>外购设备</v>
      </c>
      <c r="J137" s="44" t="str">
        <f t="shared" si="7"/>
        <v>外购设备 手动闸门</v>
      </c>
      <c r="K137" s="43">
        <f>COUNTIF($J$2:J137,J137)</f>
        <v>1</v>
      </c>
    </row>
    <row r="138" spans="1:11">
      <c r="A138" s="47">
        <v>136</v>
      </c>
      <c r="B138" s="47">
        <f>IF(K138=1,COUNTIF($D$2:D138,D138),"")</f>
        <v>101</v>
      </c>
      <c r="C138" s="48"/>
      <c r="D138" s="47" t="s">
        <v>104</v>
      </c>
      <c r="E138" s="49"/>
      <c r="F138" s="49"/>
      <c r="G138" s="49" t="s">
        <v>385</v>
      </c>
      <c r="H138" s="47" t="s">
        <v>386</v>
      </c>
      <c r="I138" s="43" t="str">
        <f t="shared" si="8"/>
        <v>外购设备</v>
      </c>
      <c r="J138" s="44" t="str">
        <f t="shared" si="7"/>
        <v>外购设备 气动三通</v>
      </c>
      <c r="K138" s="43">
        <f>COUNTIF($J$2:J138,J138)</f>
        <v>1</v>
      </c>
    </row>
    <row r="139" spans="1:11">
      <c r="A139" s="47">
        <v>137</v>
      </c>
      <c r="B139" s="47">
        <f>IF(K139=1,COUNTIF($D$2:D139,D139),"")</f>
        <v>102</v>
      </c>
      <c r="C139" s="48"/>
      <c r="D139" s="47" t="s">
        <v>104</v>
      </c>
      <c r="E139" s="49"/>
      <c r="F139" s="49"/>
      <c r="G139" s="49" t="s">
        <v>387</v>
      </c>
      <c r="H139" s="47" t="s">
        <v>388</v>
      </c>
      <c r="I139" s="43" t="str">
        <f t="shared" si="8"/>
        <v>外购设备</v>
      </c>
      <c r="J139" s="44" t="str">
        <f t="shared" si="7"/>
        <v>外购设备 振动卸料器</v>
      </c>
      <c r="K139" s="43">
        <f>COUNTIF($J$2:J139,J139)</f>
        <v>1</v>
      </c>
    </row>
    <row r="140" spans="1:11">
      <c r="A140" s="47">
        <v>138</v>
      </c>
      <c r="B140" s="47">
        <f>IF(K140=1,COUNTIF($D$2:D140,D140),"")</f>
        <v>103</v>
      </c>
      <c r="C140" s="48"/>
      <c r="D140" s="47" t="s">
        <v>104</v>
      </c>
      <c r="E140" s="49"/>
      <c r="F140" s="49"/>
      <c r="G140" s="49" t="s">
        <v>389</v>
      </c>
      <c r="H140" s="47" t="s">
        <v>390</v>
      </c>
      <c r="I140" s="43" t="str">
        <f t="shared" si="8"/>
        <v>外购设备</v>
      </c>
      <c r="J140" s="44" t="str">
        <f t="shared" si="7"/>
        <v>外购设备 制粒机</v>
      </c>
      <c r="K140" s="43">
        <f>COUNTIF($J$2:J140,J140)</f>
        <v>1</v>
      </c>
    </row>
    <row r="141" spans="1:11">
      <c r="A141" s="47">
        <v>139</v>
      </c>
      <c r="B141" s="47">
        <f>IF(K141=1,COUNTIF($D$2:D141,D141),"")</f>
        <v>104</v>
      </c>
      <c r="C141" s="48"/>
      <c r="D141" s="47" t="s">
        <v>104</v>
      </c>
      <c r="E141" s="49"/>
      <c r="F141" s="49"/>
      <c r="G141" s="49" t="s">
        <v>391</v>
      </c>
      <c r="H141" s="47" t="s">
        <v>392</v>
      </c>
      <c r="I141" s="43" t="str">
        <f t="shared" si="8"/>
        <v>外购设备</v>
      </c>
      <c r="J141" s="44" t="str">
        <f t="shared" si="7"/>
        <v>外购设备 混合机</v>
      </c>
      <c r="K141" s="43">
        <f>COUNTIF($J$2:J141,J141)</f>
        <v>1</v>
      </c>
    </row>
    <row r="142" spans="1:11">
      <c r="A142" s="47">
        <v>140</v>
      </c>
      <c r="B142" s="47">
        <f>IF(K142=1,COUNTIF($D$2:D142,D142),"")</f>
        <v>105</v>
      </c>
      <c r="C142" s="48"/>
      <c r="D142" s="47" t="s">
        <v>104</v>
      </c>
      <c r="E142" s="49"/>
      <c r="F142" s="49"/>
      <c r="G142" s="49" t="s">
        <v>393</v>
      </c>
      <c r="H142" s="47" t="s">
        <v>394</v>
      </c>
      <c r="I142" s="43" t="str">
        <f t="shared" si="8"/>
        <v>外购设备</v>
      </c>
      <c r="J142" s="44" t="str">
        <f t="shared" si="7"/>
        <v>外购设备 刮刀离心机</v>
      </c>
      <c r="K142" s="43">
        <f>COUNTIF($J$2:J142,J142)</f>
        <v>1</v>
      </c>
    </row>
    <row r="143" spans="1:11">
      <c r="A143" s="47">
        <v>141</v>
      </c>
      <c r="B143" s="47">
        <f>IF(K143=1,COUNTIF($D$2:D143,D143),"")</f>
        <v>106</v>
      </c>
      <c r="C143" s="48"/>
      <c r="D143" s="47" t="s">
        <v>104</v>
      </c>
      <c r="E143" s="49"/>
      <c r="F143" s="49"/>
      <c r="G143" s="49" t="s">
        <v>395</v>
      </c>
      <c r="H143" s="47" t="s">
        <v>396</v>
      </c>
      <c r="I143" s="43" t="str">
        <f t="shared" si="8"/>
        <v>外购设备</v>
      </c>
      <c r="J143" s="44" t="str">
        <f t="shared" si="7"/>
        <v>外购设备 加湿系统</v>
      </c>
      <c r="K143" s="43">
        <f>COUNTIF($J$2:J143,J143)</f>
        <v>1</v>
      </c>
    </row>
    <row r="144" spans="1:11">
      <c r="A144" s="47">
        <v>142</v>
      </c>
      <c r="B144" s="47">
        <f>IF(K144=1,COUNTIF($D$2:D144,D144),"")</f>
        <v>107</v>
      </c>
      <c r="C144" s="48"/>
      <c r="D144" s="47" t="s">
        <v>104</v>
      </c>
      <c r="E144" s="49"/>
      <c r="F144" s="49"/>
      <c r="G144" s="49" t="s">
        <v>397</v>
      </c>
      <c r="H144" s="47" t="s">
        <v>398</v>
      </c>
      <c r="I144" s="43" t="str">
        <f t="shared" si="8"/>
        <v>外购设备</v>
      </c>
      <c r="J144" s="44" t="str">
        <f t="shared" si="7"/>
        <v>外购设备 尾气洗涤塔</v>
      </c>
      <c r="K144" s="43">
        <f>COUNTIF($J$2:J144,J144)</f>
        <v>1</v>
      </c>
    </row>
    <row r="145" spans="1:11">
      <c r="A145" s="47">
        <v>143</v>
      </c>
      <c r="B145" s="47">
        <f>IF(K145=1,COUNTIF($D$2:D145,D145),"")</f>
        <v>108</v>
      </c>
      <c r="C145" s="48"/>
      <c r="D145" s="47" t="s">
        <v>104</v>
      </c>
      <c r="E145" s="49"/>
      <c r="F145" s="49"/>
      <c r="G145" s="49" t="s">
        <v>399</v>
      </c>
      <c r="H145" s="47" t="s">
        <v>400</v>
      </c>
      <c r="I145" s="43" t="str">
        <f t="shared" si="8"/>
        <v>外购设备</v>
      </c>
      <c r="J145" s="44" t="str">
        <f t="shared" si="7"/>
        <v>外购设备 真空包装机</v>
      </c>
      <c r="K145" s="43">
        <f>COUNTIF($J$2:J145,J145)</f>
        <v>1</v>
      </c>
    </row>
    <row r="146" spans="1:11">
      <c r="A146" s="47">
        <v>144</v>
      </c>
      <c r="B146" s="47">
        <f>IF(K146=1,COUNTIF($D$2:D146,D146),"")</f>
        <v>109</v>
      </c>
      <c r="C146" s="48"/>
      <c r="D146" s="47" t="s">
        <v>104</v>
      </c>
      <c r="E146" s="49"/>
      <c r="F146" s="49"/>
      <c r="G146" s="49" t="s">
        <v>401</v>
      </c>
      <c r="H146" s="47" t="s">
        <v>402</v>
      </c>
      <c r="I146" s="43" t="str">
        <f t="shared" si="8"/>
        <v>外购设备</v>
      </c>
      <c r="J146" s="44" t="str">
        <f t="shared" si="7"/>
        <v>外购设备 钢板仓</v>
      </c>
      <c r="K146" s="43">
        <f>COUNTIF($J$2:J146,J146)</f>
        <v>1</v>
      </c>
    </row>
    <row r="147" spans="1:11">
      <c r="A147" s="47">
        <v>145</v>
      </c>
      <c r="B147" s="47">
        <f>IF(K147=1,COUNTIF($D$2:D147,D147),"")</f>
        <v>110</v>
      </c>
      <c r="C147" s="48"/>
      <c r="D147" s="47" t="s">
        <v>104</v>
      </c>
      <c r="E147" s="49"/>
      <c r="F147" s="49"/>
      <c r="G147" s="49" t="s">
        <v>403</v>
      </c>
      <c r="H147" s="47" t="s">
        <v>404</v>
      </c>
      <c r="I147" s="43" t="str">
        <f t="shared" si="8"/>
        <v>外购设备</v>
      </c>
      <c r="J147" s="44" t="str">
        <f t="shared" si="7"/>
        <v>外购设备 立式蒸炒锅</v>
      </c>
      <c r="K147" s="43">
        <f>COUNTIF($J$2:J147,J147)</f>
        <v>1</v>
      </c>
    </row>
    <row r="148" spans="1:11">
      <c r="A148" s="47">
        <v>146</v>
      </c>
      <c r="B148" s="47">
        <f>IF(K148=1,COUNTIF($D$2:D148,D148),"")</f>
        <v>111</v>
      </c>
      <c r="C148" s="48"/>
      <c r="D148" s="47" t="s">
        <v>104</v>
      </c>
      <c r="E148" s="49"/>
      <c r="F148" s="49"/>
      <c r="G148" s="49" t="s">
        <v>405</v>
      </c>
      <c r="H148" s="47" t="s">
        <v>406</v>
      </c>
      <c r="I148" s="43" t="str">
        <f t="shared" si="8"/>
        <v>外购设备</v>
      </c>
      <c r="J148" s="44" t="str">
        <f t="shared" si="7"/>
        <v>外购设备 缝包机</v>
      </c>
      <c r="K148" s="43">
        <f>COUNTIF($J$2:J148,J148)</f>
        <v>1</v>
      </c>
    </row>
    <row r="149" spans="1:11">
      <c r="A149" s="47">
        <v>147</v>
      </c>
      <c r="B149" s="47">
        <f>IF(K149=1,COUNTIF($D$2:D149,D149),"")</f>
        <v>112</v>
      </c>
      <c r="C149" s="48"/>
      <c r="D149" s="47" t="s">
        <v>104</v>
      </c>
      <c r="E149" s="49"/>
      <c r="F149" s="49"/>
      <c r="G149" s="49" t="s">
        <v>407</v>
      </c>
      <c r="H149" s="47" t="s">
        <v>408</v>
      </c>
      <c r="I149" s="43" t="str">
        <f t="shared" si="8"/>
        <v>外购设备</v>
      </c>
      <c r="J149" s="44" t="str">
        <f t="shared" si="7"/>
        <v>外购设备 颗粒捕集器</v>
      </c>
      <c r="K149" s="43">
        <f>COUNTIF($J$2:J149,J149)</f>
        <v>1</v>
      </c>
    </row>
    <row r="150" spans="1:11">
      <c r="A150" s="47">
        <v>148</v>
      </c>
      <c r="B150" s="47">
        <f>IF(K150=1,COUNTIF($D$2:D150,D150),"")</f>
        <v>113</v>
      </c>
      <c r="C150" s="48"/>
      <c r="D150" s="47" t="s">
        <v>104</v>
      </c>
      <c r="E150" s="49"/>
      <c r="F150" s="49"/>
      <c r="G150" s="49" t="s">
        <v>409</v>
      </c>
      <c r="H150" s="47" t="s">
        <v>410</v>
      </c>
      <c r="I150" s="43" t="str">
        <f t="shared" si="8"/>
        <v>外购设备</v>
      </c>
      <c r="J150" s="44" t="str">
        <f t="shared" si="7"/>
        <v>外购设备 软水系统</v>
      </c>
      <c r="K150" s="43">
        <f>COUNTIF($J$2:J150,J150)</f>
        <v>1</v>
      </c>
    </row>
    <row r="151" spans="1:11">
      <c r="A151" s="47">
        <v>149</v>
      </c>
      <c r="B151" s="47">
        <f>IF(K151=1,COUNTIF($D$2:D151,D151),"")</f>
        <v>114</v>
      </c>
      <c r="C151" s="48"/>
      <c r="D151" s="47" t="s">
        <v>104</v>
      </c>
      <c r="E151" s="49"/>
      <c r="F151" s="49"/>
      <c r="G151" s="49" t="s">
        <v>411</v>
      </c>
      <c r="H151" s="47" t="s">
        <v>412</v>
      </c>
      <c r="I151" s="43" t="str">
        <f t="shared" si="8"/>
        <v>外购设备</v>
      </c>
      <c r="J151" s="44" t="str">
        <f t="shared" si="7"/>
        <v>外购设备 喂料器</v>
      </c>
      <c r="K151" s="43">
        <f>COUNTIF($J$2:J151,J151)</f>
        <v>1</v>
      </c>
    </row>
    <row r="152" spans="1:11">
      <c r="A152" s="47">
        <v>150</v>
      </c>
      <c r="B152" s="47">
        <f>IF(K152=1,COUNTIF($D$2:D152,D152),"")</f>
        <v>115</v>
      </c>
      <c r="C152" s="48"/>
      <c r="D152" s="47" t="s">
        <v>104</v>
      </c>
      <c r="E152" s="49"/>
      <c r="F152" s="49"/>
      <c r="G152" s="49" t="s">
        <v>413</v>
      </c>
      <c r="H152" s="47" t="s">
        <v>414</v>
      </c>
      <c r="I152" s="43" t="str">
        <f t="shared" si="8"/>
        <v>外购设备</v>
      </c>
      <c r="J152" s="44" t="str">
        <f t="shared" si="7"/>
        <v>外购设备 调制器</v>
      </c>
      <c r="K152" s="43">
        <f>COUNTIF($J$2:J152,J152)</f>
        <v>1</v>
      </c>
    </row>
    <row r="153" spans="1:11">
      <c r="A153" s="47">
        <v>151</v>
      </c>
      <c r="B153" s="47">
        <f>IF(K153=1,COUNTIF($D$2:D153,D153),"")</f>
        <v>116</v>
      </c>
      <c r="C153" s="48"/>
      <c r="D153" s="47" t="s">
        <v>104</v>
      </c>
      <c r="E153" s="49"/>
      <c r="F153" s="49"/>
      <c r="G153" s="49" t="s">
        <v>415</v>
      </c>
      <c r="H153" s="47" t="s">
        <v>416</v>
      </c>
      <c r="I153" s="43" t="str">
        <f t="shared" si="8"/>
        <v>外购设备</v>
      </c>
      <c r="J153" s="44" t="str">
        <f t="shared" si="7"/>
        <v>外购设备 保质器</v>
      </c>
      <c r="K153" s="43">
        <f>COUNTIF($J$2:J153,J153)</f>
        <v>1</v>
      </c>
    </row>
    <row r="154" spans="1:11">
      <c r="A154" s="47">
        <v>152</v>
      </c>
      <c r="B154" s="47">
        <f>IF(K154=1,COUNTIF($D$2:D154,D154),"")</f>
        <v>117</v>
      </c>
      <c r="C154" s="48"/>
      <c r="D154" s="47" t="s">
        <v>104</v>
      </c>
      <c r="E154" s="49"/>
      <c r="F154" s="49"/>
      <c r="G154" s="49" t="s">
        <v>417</v>
      </c>
      <c r="H154" s="47" t="s">
        <v>418</v>
      </c>
      <c r="I154" s="43" t="str">
        <f t="shared" si="8"/>
        <v>外购设备</v>
      </c>
      <c r="J154" s="44" t="str">
        <f t="shared" si="7"/>
        <v>外购设备 气锤</v>
      </c>
      <c r="K154" s="43">
        <f>COUNTIF($J$2:J154,J154)</f>
        <v>1</v>
      </c>
    </row>
    <row r="155" spans="1:11">
      <c r="A155" s="47">
        <v>153</v>
      </c>
      <c r="B155" s="47">
        <f>IF(K155=1,COUNTIF($D$2:D155,D155),"")</f>
        <v>118</v>
      </c>
      <c r="C155" s="48"/>
      <c r="D155" s="47" t="s">
        <v>104</v>
      </c>
      <c r="E155" s="49"/>
      <c r="F155" s="49"/>
      <c r="G155" s="49" t="s">
        <v>419</v>
      </c>
      <c r="H155" s="47" t="s">
        <v>420</v>
      </c>
      <c r="I155" s="43" t="str">
        <f t="shared" si="8"/>
        <v>外购设备</v>
      </c>
      <c r="J155" s="44" t="str">
        <f t="shared" si="7"/>
        <v>外购设备 码垛系统</v>
      </c>
      <c r="K155" s="43">
        <f>COUNTIF($J$2:J155,J155)</f>
        <v>1</v>
      </c>
    </row>
    <row r="156" spans="1:11">
      <c r="A156" s="47">
        <v>154</v>
      </c>
      <c r="B156" s="47">
        <f>IF(K156=1,COUNTIF($D$2:D156,D156),"")</f>
        <v>119</v>
      </c>
      <c r="C156" s="48"/>
      <c r="D156" s="47" t="s">
        <v>104</v>
      </c>
      <c r="E156" s="49"/>
      <c r="F156" s="49"/>
      <c r="G156" s="49" t="s">
        <v>421</v>
      </c>
      <c r="H156" s="47" t="s">
        <v>422</v>
      </c>
      <c r="I156" s="43" t="str">
        <f t="shared" si="8"/>
        <v>外购设备</v>
      </c>
      <c r="J156" s="44" t="str">
        <f t="shared" si="7"/>
        <v>外购设备 打麦机</v>
      </c>
      <c r="K156" s="43">
        <f>COUNTIF($J$2:J156,J156)</f>
        <v>1</v>
      </c>
    </row>
    <row r="157" spans="1:11">
      <c r="A157" s="47">
        <v>155</v>
      </c>
      <c r="B157" s="47">
        <f>IF(K157=1,COUNTIF($D$2:D157,D157),"")</f>
        <v>120</v>
      </c>
      <c r="C157" s="48"/>
      <c r="D157" s="47" t="s">
        <v>104</v>
      </c>
      <c r="E157" s="49"/>
      <c r="F157" s="49"/>
      <c r="G157" s="49" t="s">
        <v>423</v>
      </c>
      <c r="H157" s="47" t="s">
        <v>424</v>
      </c>
      <c r="I157" s="43" t="str">
        <f t="shared" si="8"/>
        <v>外购设备</v>
      </c>
      <c r="J157" s="44" t="str">
        <f t="shared" si="7"/>
        <v>外购设备 夹套型立式搅拌罐</v>
      </c>
      <c r="K157" s="43">
        <f>COUNTIF($J$2:J157,J157)</f>
        <v>1</v>
      </c>
    </row>
    <row r="158" spans="1:11">
      <c r="A158" s="47">
        <v>156</v>
      </c>
      <c r="B158" s="47">
        <f>IF(K158=1,COUNTIF($D$2:D158,D158),"")</f>
        <v>121</v>
      </c>
      <c r="C158" s="48"/>
      <c r="D158" s="47" t="s">
        <v>104</v>
      </c>
      <c r="E158" s="49"/>
      <c r="F158" s="49"/>
      <c r="G158" s="49" t="s">
        <v>425</v>
      </c>
      <c r="H158" s="47" t="s">
        <v>426</v>
      </c>
      <c r="I158" s="43" t="str">
        <f t="shared" si="8"/>
        <v>外购设备</v>
      </c>
      <c r="J158" s="44" t="str">
        <f t="shared" si="7"/>
        <v>外购设备 盘管型立式搅拌罐</v>
      </c>
      <c r="K158" s="43">
        <f>COUNTIF($J$2:J158,J158)</f>
        <v>1</v>
      </c>
    </row>
    <row r="159" spans="1:11">
      <c r="A159" s="47">
        <v>157</v>
      </c>
      <c r="B159" s="47">
        <f>IF(K159=1,COUNTIF($D$2:D159,D159),"")</f>
        <v>1</v>
      </c>
      <c r="C159" s="49" t="s">
        <v>427</v>
      </c>
      <c r="D159" s="47" t="s">
        <v>62</v>
      </c>
      <c r="E159" s="49"/>
      <c r="F159" s="49" t="s">
        <v>428</v>
      </c>
      <c r="G159" s="49" t="s">
        <v>429</v>
      </c>
      <c r="H159" s="47" t="s">
        <v>430</v>
      </c>
      <c r="I159" s="43" t="str">
        <f>IF(COUNTA(C159)=1,C159,#REF!)</f>
        <v>外购件</v>
      </c>
      <c r="J159" s="44" t="str">
        <f t="shared" si="7"/>
        <v>外购件 螺栓</v>
      </c>
      <c r="K159" s="43">
        <f>COUNTIF($J$2:J159,J159)</f>
        <v>1</v>
      </c>
    </row>
    <row r="160" spans="1:11">
      <c r="A160" s="47">
        <v>158</v>
      </c>
      <c r="B160" s="47">
        <f>IF(K160=1,COUNTIF($D$2:D160,D160),"")</f>
        <v>2</v>
      </c>
      <c r="C160" s="47"/>
      <c r="D160" s="47" t="s">
        <v>62</v>
      </c>
      <c r="E160" s="49"/>
      <c r="F160" s="49"/>
      <c r="G160" s="49" t="s">
        <v>431</v>
      </c>
      <c r="H160" s="47" t="s">
        <v>432</v>
      </c>
      <c r="I160" s="43" t="str">
        <f t="shared" ref="I160:I173" si="9">IF(COUNTA(C160)=1,C160,I159)</f>
        <v>外购件</v>
      </c>
      <c r="J160" s="44" t="str">
        <f t="shared" si="7"/>
        <v>外购件 螺母</v>
      </c>
      <c r="K160" s="43">
        <f>COUNTIF($J$2:J160,J160)</f>
        <v>1</v>
      </c>
    </row>
    <row r="161" spans="1:11">
      <c r="A161" s="47">
        <v>159</v>
      </c>
      <c r="B161" s="47">
        <f>IF(K161=1,COUNTIF($D$2:D161,D161),"")</f>
        <v>3</v>
      </c>
      <c r="C161" s="47"/>
      <c r="D161" s="47" t="s">
        <v>62</v>
      </c>
      <c r="E161" s="49"/>
      <c r="F161" s="49"/>
      <c r="G161" s="49" t="s">
        <v>433</v>
      </c>
      <c r="H161" s="47" t="s">
        <v>434</v>
      </c>
      <c r="I161" s="43" t="str">
        <f t="shared" si="9"/>
        <v>外购件</v>
      </c>
      <c r="J161" s="44" t="str">
        <f t="shared" si="7"/>
        <v>外购件 螺柱</v>
      </c>
      <c r="K161" s="43">
        <f>COUNTIF($J$2:J161,J161)</f>
        <v>1</v>
      </c>
    </row>
    <row r="162" spans="1:11">
      <c r="A162" s="47">
        <v>160</v>
      </c>
      <c r="B162" s="47">
        <f>IF(K162=1,COUNTIF($D$2:D162,D162),"")</f>
        <v>4</v>
      </c>
      <c r="C162" s="47"/>
      <c r="D162" s="47" t="s">
        <v>62</v>
      </c>
      <c r="E162" s="49"/>
      <c r="F162" s="49"/>
      <c r="G162" s="49" t="s">
        <v>435</v>
      </c>
      <c r="H162" s="47" t="s">
        <v>436</v>
      </c>
      <c r="I162" s="43" t="str">
        <f t="shared" si="9"/>
        <v>外购件</v>
      </c>
      <c r="J162" s="44" t="str">
        <f t="shared" si="7"/>
        <v>外购件 螺钉</v>
      </c>
      <c r="K162" s="43">
        <f>COUNTIF($J$2:J162,J162)</f>
        <v>1</v>
      </c>
    </row>
    <row r="163" spans="1:11">
      <c r="A163" s="47">
        <v>161</v>
      </c>
      <c r="B163" s="47">
        <f>IF(K163=1,COUNTIF($D$2:D163,D163),"")</f>
        <v>5</v>
      </c>
      <c r="C163" s="47"/>
      <c r="D163" s="47" t="s">
        <v>62</v>
      </c>
      <c r="E163" s="49"/>
      <c r="F163" s="49"/>
      <c r="G163" s="49" t="s">
        <v>437</v>
      </c>
      <c r="H163" s="47" t="s">
        <v>438</v>
      </c>
      <c r="I163" s="43" t="str">
        <f t="shared" si="9"/>
        <v>外购件</v>
      </c>
      <c r="J163" s="44" t="str">
        <f t="shared" si="7"/>
        <v>外购件 垫圈</v>
      </c>
      <c r="K163" s="43">
        <f>COUNTIF($J$2:J163,J163)</f>
        <v>1</v>
      </c>
    </row>
    <row r="164" spans="1:11">
      <c r="A164" s="47">
        <v>162</v>
      </c>
      <c r="B164" s="47">
        <f>IF(K164=1,COUNTIF($D$2:D164,D164),"")</f>
        <v>6</v>
      </c>
      <c r="C164" s="47"/>
      <c r="D164" s="47" t="s">
        <v>62</v>
      </c>
      <c r="E164" s="49"/>
      <c r="F164" s="49"/>
      <c r="G164" s="49" t="s">
        <v>439</v>
      </c>
      <c r="H164" s="47" t="s">
        <v>440</v>
      </c>
      <c r="I164" s="43" t="str">
        <f t="shared" si="9"/>
        <v>外购件</v>
      </c>
      <c r="J164" s="44" t="str">
        <f t="shared" si="7"/>
        <v>外购件 挡圈</v>
      </c>
      <c r="K164" s="43">
        <f>COUNTIF($J$2:J164,J164)</f>
        <v>1</v>
      </c>
    </row>
    <row r="165" spans="1:11">
      <c r="A165" s="47">
        <v>163</v>
      </c>
      <c r="B165" s="47">
        <f>IF(K165=1,COUNTIF($D$2:D165,D165),"")</f>
        <v>7</v>
      </c>
      <c r="C165" s="47"/>
      <c r="D165" s="47" t="s">
        <v>62</v>
      </c>
      <c r="E165" s="49"/>
      <c r="F165" s="49"/>
      <c r="G165" s="49" t="s">
        <v>441</v>
      </c>
      <c r="H165" s="47" t="s">
        <v>442</v>
      </c>
      <c r="I165" s="43" t="str">
        <f t="shared" si="9"/>
        <v>外购件</v>
      </c>
      <c r="J165" s="44" t="str">
        <f t="shared" si="7"/>
        <v>外购件 键</v>
      </c>
      <c r="K165" s="43">
        <f>COUNTIF($J$2:J165,J165)</f>
        <v>1</v>
      </c>
    </row>
    <row r="166" spans="1:11">
      <c r="A166" s="47">
        <v>164</v>
      </c>
      <c r="B166" s="47">
        <f>IF(K166=1,COUNTIF($D$2:D166,D166),"")</f>
        <v>8</v>
      </c>
      <c r="C166" s="47"/>
      <c r="D166" s="47" t="s">
        <v>62</v>
      </c>
      <c r="E166" s="49"/>
      <c r="F166" s="49"/>
      <c r="G166" s="49" t="s">
        <v>443</v>
      </c>
      <c r="H166" s="47" t="s">
        <v>444</v>
      </c>
      <c r="I166" s="43" t="str">
        <f t="shared" si="9"/>
        <v>外购件</v>
      </c>
      <c r="J166" s="44" t="str">
        <f t="shared" ref="J166:J229" si="10">CONCATENATE(I166," ",G166)</f>
        <v>外购件 销</v>
      </c>
      <c r="K166" s="43">
        <f>COUNTIF($J$2:J166,J166)</f>
        <v>1</v>
      </c>
    </row>
    <row r="167" spans="1:11">
      <c r="A167" s="47">
        <v>165</v>
      </c>
      <c r="B167" s="47">
        <f>IF(K167=1,COUNTIF($D$2:D167,D167),"")</f>
        <v>9</v>
      </c>
      <c r="C167" s="47"/>
      <c r="D167" s="47" t="s">
        <v>62</v>
      </c>
      <c r="E167" s="49"/>
      <c r="F167" s="49"/>
      <c r="G167" s="49" t="s">
        <v>445</v>
      </c>
      <c r="H167" s="47" t="s">
        <v>446</v>
      </c>
      <c r="I167" s="43" t="str">
        <f t="shared" si="9"/>
        <v>外购件</v>
      </c>
      <c r="J167" s="44" t="str">
        <f t="shared" si="10"/>
        <v>外购件 铆钉</v>
      </c>
      <c r="K167" s="43">
        <f>COUNTIF($J$2:J167,J167)</f>
        <v>1</v>
      </c>
    </row>
    <row r="168" spans="1:11">
      <c r="A168" s="47">
        <v>166</v>
      </c>
      <c r="B168" s="47">
        <f>IF(K168=1,COUNTIF($D$2:D168,D168),"")</f>
        <v>10</v>
      </c>
      <c r="C168" s="47"/>
      <c r="D168" s="47" t="s">
        <v>62</v>
      </c>
      <c r="E168" s="49"/>
      <c r="F168" s="49"/>
      <c r="G168" s="49" t="s">
        <v>447</v>
      </c>
      <c r="H168" s="47" t="s">
        <v>448</v>
      </c>
      <c r="I168" s="43" t="str">
        <f t="shared" si="9"/>
        <v>外购件</v>
      </c>
      <c r="J168" s="44" t="str">
        <f t="shared" si="10"/>
        <v>外购件 花键</v>
      </c>
      <c r="K168" s="43">
        <f>COUNTIF($J$2:J168,J168)</f>
        <v>1</v>
      </c>
    </row>
    <row r="169" spans="1:11">
      <c r="A169" s="47">
        <v>167</v>
      </c>
      <c r="B169" s="47">
        <f>IF(K169=1,COUNTIF($D$2:D169,D169),"")</f>
        <v>11</v>
      </c>
      <c r="C169" s="47"/>
      <c r="D169" s="47" t="s">
        <v>62</v>
      </c>
      <c r="E169" s="49"/>
      <c r="F169" s="49" t="s">
        <v>449</v>
      </c>
      <c r="G169" s="49" t="s">
        <v>450</v>
      </c>
      <c r="H169" s="47" t="s">
        <v>451</v>
      </c>
      <c r="I169" s="43" t="str">
        <f t="shared" si="9"/>
        <v>外购件</v>
      </c>
      <c r="J169" s="44" t="str">
        <f t="shared" si="10"/>
        <v>外购件 R系列减速机</v>
      </c>
      <c r="K169" s="43">
        <f>COUNTIF($J$2:J169,J169)</f>
        <v>1</v>
      </c>
    </row>
    <row r="170" spans="1:11">
      <c r="A170" s="47">
        <v>168</v>
      </c>
      <c r="B170" s="47">
        <f>IF(K170=1,COUNTIF($D$2:D170,D170),"")</f>
        <v>12</v>
      </c>
      <c r="C170" s="47"/>
      <c r="D170" s="47" t="s">
        <v>62</v>
      </c>
      <c r="E170" s="49"/>
      <c r="F170" s="49"/>
      <c r="G170" s="49" t="s">
        <v>452</v>
      </c>
      <c r="H170" s="47" t="s">
        <v>453</v>
      </c>
      <c r="I170" s="43" t="str">
        <f t="shared" si="9"/>
        <v>外购件</v>
      </c>
      <c r="J170" s="44" t="str">
        <f t="shared" si="10"/>
        <v>外购件 F系列减速机</v>
      </c>
      <c r="K170" s="43">
        <f>COUNTIF($J$2:J170,J170)</f>
        <v>1</v>
      </c>
    </row>
    <row r="171" spans="1:11">
      <c r="A171" s="47">
        <v>169</v>
      </c>
      <c r="B171" s="47">
        <f>IF(K171=1,COUNTIF($D$2:D171,D171),"")</f>
        <v>13</v>
      </c>
      <c r="C171" s="47"/>
      <c r="D171" s="47" t="s">
        <v>62</v>
      </c>
      <c r="E171" s="49"/>
      <c r="F171" s="49"/>
      <c r="G171" s="49" t="s">
        <v>454</v>
      </c>
      <c r="H171" s="47" t="s">
        <v>455</v>
      </c>
      <c r="I171" s="43" t="str">
        <f t="shared" si="9"/>
        <v>外购件</v>
      </c>
      <c r="J171" s="44" t="str">
        <f t="shared" si="10"/>
        <v>外购件 K系列减速机</v>
      </c>
      <c r="K171" s="43">
        <f>COUNTIF($J$2:J171,J171)</f>
        <v>1</v>
      </c>
    </row>
    <row r="172" spans="1:11">
      <c r="A172" s="47">
        <v>170</v>
      </c>
      <c r="B172" s="47">
        <f>IF(K172=1,COUNTIF($D$2:D172,D172),"")</f>
        <v>14</v>
      </c>
      <c r="C172" s="47"/>
      <c r="D172" s="47" t="s">
        <v>62</v>
      </c>
      <c r="E172" s="49"/>
      <c r="F172" s="49"/>
      <c r="G172" s="49" t="s">
        <v>456</v>
      </c>
      <c r="H172" s="47" t="s">
        <v>457</v>
      </c>
      <c r="I172" s="43" t="str">
        <f t="shared" si="9"/>
        <v>外购件</v>
      </c>
      <c r="J172" s="44" t="str">
        <f t="shared" si="10"/>
        <v>外购件 S系列减速机</v>
      </c>
      <c r="K172" s="43">
        <f>COUNTIF($J$2:J172,J172)</f>
        <v>1</v>
      </c>
    </row>
    <row r="173" spans="1:11">
      <c r="A173" s="47">
        <v>171</v>
      </c>
      <c r="B173" s="47">
        <f>IF(K173=1,COUNTIF($D$2:D173,D173),"")</f>
        <v>15</v>
      </c>
      <c r="C173" s="47"/>
      <c r="D173" s="47" t="s">
        <v>62</v>
      </c>
      <c r="E173" s="49"/>
      <c r="F173" s="49"/>
      <c r="G173" s="49" t="s">
        <v>458</v>
      </c>
      <c r="H173" s="47" t="s">
        <v>459</v>
      </c>
      <c r="I173" s="43" t="str">
        <f t="shared" si="9"/>
        <v>外购件</v>
      </c>
      <c r="J173" s="44" t="str">
        <f t="shared" si="10"/>
        <v>外购件 R系列减速电机</v>
      </c>
      <c r="K173" s="43">
        <f>COUNTIF($J$2:J173,J173)</f>
        <v>1</v>
      </c>
    </row>
    <row r="174" spans="1:11">
      <c r="A174" s="47">
        <v>172</v>
      </c>
      <c r="B174" s="47">
        <f>IF(K174=1,COUNTIF($D$2:D174,D174),"")</f>
        <v>16</v>
      </c>
      <c r="C174" s="47"/>
      <c r="D174" s="47" t="s">
        <v>62</v>
      </c>
      <c r="E174" s="49"/>
      <c r="F174" s="49"/>
      <c r="G174" s="49" t="s">
        <v>460</v>
      </c>
      <c r="H174" s="47" t="s">
        <v>461</v>
      </c>
      <c r="I174" s="43" t="str">
        <f t="shared" ref="I174:I237" si="11">IF(COUNTA(C174)=1,C174,I173)</f>
        <v>外购件</v>
      </c>
      <c r="J174" s="44" t="str">
        <f t="shared" si="10"/>
        <v>外购件 F系列减速电机</v>
      </c>
      <c r="K174" s="43">
        <f>COUNTIF($J$2:J174,J174)</f>
        <v>1</v>
      </c>
    </row>
    <row r="175" spans="1:11">
      <c r="A175" s="47">
        <v>173</v>
      </c>
      <c r="B175" s="47">
        <f>IF(K175=1,COUNTIF($D$2:D175,D175),"")</f>
        <v>17</v>
      </c>
      <c r="C175" s="47"/>
      <c r="D175" s="47" t="s">
        <v>62</v>
      </c>
      <c r="E175" s="49"/>
      <c r="F175" s="49"/>
      <c r="G175" s="49" t="s">
        <v>462</v>
      </c>
      <c r="H175" s="47" t="s">
        <v>463</v>
      </c>
      <c r="I175" s="43" t="str">
        <f t="shared" si="11"/>
        <v>外购件</v>
      </c>
      <c r="J175" s="44" t="str">
        <f t="shared" si="10"/>
        <v>外购件 K系列减速电机</v>
      </c>
      <c r="K175" s="43">
        <f>COUNTIF($J$2:J175,J175)</f>
        <v>1</v>
      </c>
    </row>
    <row r="176" spans="1:11">
      <c r="A176" s="47">
        <v>174</v>
      </c>
      <c r="B176" s="47">
        <f>IF(K176=1,COUNTIF($D$2:D176,D176),"")</f>
        <v>18</v>
      </c>
      <c r="C176" s="47"/>
      <c r="D176" s="47" t="s">
        <v>62</v>
      </c>
      <c r="E176" s="49"/>
      <c r="F176" s="49"/>
      <c r="G176" s="49" t="s">
        <v>464</v>
      </c>
      <c r="H176" s="47" t="s">
        <v>465</v>
      </c>
      <c r="I176" s="43" t="str">
        <f t="shared" si="11"/>
        <v>外购件</v>
      </c>
      <c r="J176" s="44" t="str">
        <f t="shared" si="10"/>
        <v>外购件 S系列减速电机</v>
      </c>
      <c r="K176" s="43">
        <f>COUNTIF($J$2:J176,J176)</f>
        <v>1</v>
      </c>
    </row>
    <row r="177" spans="1:11">
      <c r="A177" s="47">
        <v>175</v>
      </c>
      <c r="B177" s="47">
        <f>IF(K177=1,COUNTIF($D$2:D177,D177),"")</f>
        <v>19</v>
      </c>
      <c r="C177" s="47"/>
      <c r="D177" s="47" t="s">
        <v>62</v>
      </c>
      <c r="E177" s="49"/>
      <c r="F177" s="49"/>
      <c r="G177" s="49" t="s">
        <v>466</v>
      </c>
      <c r="H177" s="47" t="s">
        <v>467</v>
      </c>
      <c r="I177" s="43" t="str">
        <f t="shared" si="11"/>
        <v>外购件</v>
      </c>
      <c r="J177" s="44" t="str">
        <f t="shared" si="10"/>
        <v>外购件 X系列减速箱</v>
      </c>
      <c r="K177" s="43">
        <f>COUNTIF($J$2:J177,J177)</f>
        <v>1</v>
      </c>
    </row>
    <row r="178" spans="1:11">
      <c r="A178" s="47">
        <v>176</v>
      </c>
      <c r="B178" s="47">
        <f>IF(K178=1,COUNTIF($D$2:D178,D178),"")</f>
        <v>20</v>
      </c>
      <c r="C178" s="47"/>
      <c r="D178" s="47" t="s">
        <v>62</v>
      </c>
      <c r="E178" s="49"/>
      <c r="F178" s="49"/>
      <c r="G178" s="49" t="s">
        <v>468</v>
      </c>
      <c r="H178" s="47" t="s">
        <v>469</v>
      </c>
      <c r="I178" s="43" t="str">
        <f t="shared" si="11"/>
        <v>外购件</v>
      </c>
      <c r="J178" s="44" t="str">
        <f t="shared" si="10"/>
        <v>外购件 MC系列减速箱</v>
      </c>
      <c r="K178" s="43">
        <f>COUNTIF($J$2:J178,J178)</f>
        <v>1</v>
      </c>
    </row>
    <row r="179" spans="1:11">
      <c r="A179" s="47">
        <v>177</v>
      </c>
      <c r="B179" s="47">
        <f>IF(K179=1,COUNTIF($D$2:D179,D179),"")</f>
        <v>21</v>
      </c>
      <c r="C179" s="47"/>
      <c r="D179" s="47" t="s">
        <v>62</v>
      </c>
      <c r="E179" s="49"/>
      <c r="F179" s="49"/>
      <c r="G179" s="49" t="s">
        <v>470</v>
      </c>
      <c r="H179" s="47" t="s">
        <v>471</v>
      </c>
      <c r="I179" s="43" t="str">
        <f t="shared" si="11"/>
        <v>外购件</v>
      </c>
      <c r="J179" s="44" t="str">
        <f t="shared" si="10"/>
        <v>外购件 ML系列减速箱</v>
      </c>
      <c r="K179" s="43">
        <f>COUNTIF($J$2:J179,J179)</f>
        <v>1</v>
      </c>
    </row>
    <row r="180" spans="1:11">
      <c r="A180" s="47">
        <v>178</v>
      </c>
      <c r="B180" s="47">
        <f>IF(K180=1,COUNTIF($D$2:D180,D180),"")</f>
        <v>22</v>
      </c>
      <c r="C180" s="47"/>
      <c r="D180" s="47" t="s">
        <v>62</v>
      </c>
      <c r="E180" s="49"/>
      <c r="F180" s="49"/>
      <c r="G180" s="49" t="s">
        <v>472</v>
      </c>
      <c r="H180" s="47" t="s">
        <v>473</v>
      </c>
      <c r="I180" s="43" t="str">
        <f t="shared" si="11"/>
        <v>外购件</v>
      </c>
      <c r="J180" s="44" t="str">
        <f t="shared" si="10"/>
        <v>外购件 M系列减速箱</v>
      </c>
      <c r="K180" s="43">
        <f>COUNTIF($J$2:J180,J180)</f>
        <v>1</v>
      </c>
    </row>
    <row r="181" spans="1:11">
      <c r="A181" s="47">
        <v>179</v>
      </c>
      <c r="B181" s="47">
        <f>IF(K181=1,COUNTIF($D$2:D181,D181),"")</f>
        <v>23</v>
      </c>
      <c r="C181" s="47"/>
      <c r="D181" s="47" t="s">
        <v>62</v>
      </c>
      <c r="E181" s="49"/>
      <c r="F181" s="49"/>
      <c r="G181" s="49" t="s">
        <v>474</v>
      </c>
      <c r="H181" s="47" t="s">
        <v>475</v>
      </c>
      <c r="I181" s="43" t="str">
        <f t="shared" si="11"/>
        <v>外购件</v>
      </c>
      <c r="J181" s="44" t="str">
        <f t="shared" si="10"/>
        <v>外购件 YC系列减速箱</v>
      </c>
      <c r="K181" s="43">
        <f>COUNTIF($J$2:J181,J181)</f>
        <v>1</v>
      </c>
    </row>
    <row r="182" spans="1:11">
      <c r="A182" s="47">
        <v>180</v>
      </c>
      <c r="B182" s="47">
        <f>IF(K182=1,COUNTIF($D$2:D182,D182),"")</f>
        <v>24</v>
      </c>
      <c r="C182" s="47"/>
      <c r="D182" s="47" t="s">
        <v>62</v>
      </c>
      <c r="E182" s="49"/>
      <c r="F182" s="49"/>
      <c r="G182" s="49" t="s">
        <v>476</v>
      </c>
      <c r="H182" s="47" t="s">
        <v>477</v>
      </c>
      <c r="I182" s="43" t="str">
        <f t="shared" si="11"/>
        <v>外购件</v>
      </c>
      <c r="J182" s="44" t="str">
        <f t="shared" si="10"/>
        <v>外购件 圆柱齿轮减速箱</v>
      </c>
      <c r="K182" s="43">
        <f>COUNTIF($J$2:J182,J182)</f>
        <v>1</v>
      </c>
    </row>
    <row r="183" spans="1:11">
      <c r="A183" s="47">
        <v>181</v>
      </c>
      <c r="B183" s="47">
        <f>IF(K183=1,COUNTIF($D$2:D183,D183),"")</f>
        <v>25</v>
      </c>
      <c r="C183" s="47"/>
      <c r="D183" s="47" t="s">
        <v>62</v>
      </c>
      <c r="E183" s="49"/>
      <c r="F183" s="49"/>
      <c r="G183" s="49" t="s">
        <v>478</v>
      </c>
      <c r="H183" s="47" t="s">
        <v>479</v>
      </c>
      <c r="I183" s="43" t="str">
        <f t="shared" si="11"/>
        <v>外购件</v>
      </c>
      <c r="J183" s="44" t="str">
        <f t="shared" si="10"/>
        <v>外购件 升降机</v>
      </c>
      <c r="K183" s="43">
        <f>COUNTIF($J$2:J183,J183)</f>
        <v>1</v>
      </c>
    </row>
    <row r="184" spans="1:11">
      <c r="A184" s="47">
        <v>182</v>
      </c>
      <c r="B184" s="47">
        <f>IF(K184=1,COUNTIF($D$2:D184,D184),"")</f>
        <v>26</v>
      </c>
      <c r="C184" s="47"/>
      <c r="D184" s="47" t="s">
        <v>62</v>
      </c>
      <c r="E184" s="49"/>
      <c r="F184" s="49"/>
      <c r="G184" s="49" t="s">
        <v>480</v>
      </c>
      <c r="H184" s="47" t="s">
        <v>481</v>
      </c>
      <c r="I184" s="43" t="str">
        <f t="shared" si="11"/>
        <v>外购件</v>
      </c>
      <c r="J184" s="44" t="str">
        <f t="shared" si="10"/>
        <v>外购件 换挡变速器</v>
      </c>
      <c r="K184" s="43">
        <f>COUNTIF($J$2:J184,J184)</f>
        <v>1</v>
      </c>
    </row>
    <row r="185" spans="1:11">
      <c r="A185" s="47">
        <v>183</v>
      </c>
      <c r="B185" s="47">
        <f>IF(K185=1,COUNTIF($D$2:D185,D185),"")</f>
        <v>27</v>
      </c>
      <c r="C185" s="47"/>
      <c r="D185" s="47" t="s">
        <v>62</v>
      </c>
      <c r="E185" s="49"/>
      <c r="F185" s="49" t="s">
        <v>482</v>
      </c>
      <c r="G185" s="49" t="s">
        <v>483</v>
      </c>
      <c r="H185" s="47" t="s">
        <v>484</v>
      </c>
      <c r="I185" s="43" t="str">
        <f t="shared" si="11"/>
        <v>外购件</v>
      </c>
      <c r="J185" s="44" t="str">
        <f t="shared" si="10"/>
        <v>外购件 普通电机</v>
      </c>
      <c r="K185" s="43">
        <f>COUNTIF($J$2:J185,J185)</f>
        <v>1</v>
      </c>
    </row>
    <row r="186" spans="1:11">
      <c r="A186" s="47">
        <v>184</v>
      </c>
      <c r="B186" s="47">
        <f>IF(K186=1,COUNTIF($D$2:D186,D186),"")</f>
        <v>28</v>
      </c>
      <c r="C186" s="47"/>
      <c r="D186" s="47" t="s">
        <v>62</v>
      </c>
      <c r="E186" s="49"/>
      <c r="F186" s="49"/>
      <c r="G186" s="49" t="s">
        <v>485</v>
      </c>
      <c r="H186" s="47" t="s">
        <v>486</v>
      </c>
      <c r="I186" s="43" t="str">
        <f t="shared" si="11"/>
        <v>外购件</v>
      </c>
      <c r="J186" s="44" t="str">
        <f t="shared" si="10"/>
        <v>外购件 防爆电机</v>
      </c>
      <c r="K186" s="43">
        <f>COUNTIF($J$2:J186,J186)</f>
        <v>1</v>
      </c>
    </row>
    <row r="187" spans="1:11">
      <c r="A187" s="47">
        <v>185</v>
      </c>
      <c r="B187" s="47">
        <f>IF(K187=1,COUNTIF($D$2:D187,D187),"")</f>
        <v>29</v>
      </c>
      <c r="C187" s="47"/>
      <c r="D187" s="47" t="s">
        <v>62</v>
      </c>
      <c r="E187" s="49"/>
      <c r="F187" s="49"/>
      <c r="G187" s="49" t="s">
        <v>487</v>
      </c>
      <c r="H187" s="47" t="s">
        <v>488</v>
      </c>
      <c r="I187" s="43" t="str">
        <f t="shared" si="11"/>
        <v>外购件</v>
      </c>
      <c r="J187" s="44" t="str">
        <f t="shared" si="10"/>
        <v>外购件 变频电机</v>
      </c>
      <c r="K187" s="43">
        <f>COUNTIF($J$2:J187,J187)</f>
        <v>1</v>
      </c>
    </row>
    <row r="188" spans="1:11">
      <c r="A188" s="47">
        <v>186</v>
      </c>
      <c r="B188" s="47">
        <f>IF(K188=1,COUNTIF($D$2:D188,D188),"")</f>
        <v>30</v>
      </c>
      <c r="C188" s="47"/>
      <c r="D188" s="47" t="s">
        <v>62</v>
      </c>
      <c r="E188" s="49"/>
      <c r="F188" s="49"/>
      <c r="G188" s="49" t="s">
        <v>489</v>
      </c>
      <c r="H188" s="47" t="s">
        <v>490</v>
      </c>
      <c r="I188" s="43" t="str">
        <f t="shared" si="11"/>
        <v>外购件</v>
      </c>
      <c r="J188" s="44" t="str">
        <f t="shared" si="10"/>
        <v>外购件 变频防爆电机</v>
      </c>
      <c r="K188" s="43">
        <f>COUNTIF($J$2:J188,J188)</f>
        <v>1</v>
      </c>
    </row>
    <row r="189" spans="1:11">
      <c r="A189" s="47">
        <v>187</v>
      </c>
      <c r="B189" s="47">
        <f>IF(K189=1,COUNTIF($D$2:D189,D189),"")</f>
        <v>31</v>
      </c>
      <c r="C189" s="47"/>
      <c r="D189" s="47" t="s">
        <v>62</v>
      </c>
      <c r="E189" s="49"/>
      <c r="F189" s="49"/>
      <c r="G189" s="49" t="s">
        <v>491</v>
      </c>
      <c r="H189" s="47" t="s">
        <v>492</v>
      </c>
      <c r="I189" s="43" t="str">
        <f t="shared" si="11"/>
        <v>外购件</v>
      </c>
      <c r="J189" s="44" t="str">
        <f t="shared" si="10"/>
        <v>外购件 高压电机</v>
      </c>
      <c r="K189" s="43">
        <f>COUNTIF($J$2:J189,J189)</f>
        <v>1</v>
      </c>
    </row>
    <row r="190" spans="1:11">
      <c r="A190" s="47">
        <v>188</v>
      </c>
      <c r="B190" s="47">
        <f>IF(K190=1,COUNTIF($D$2:D190,D190),"")</f>
        <v>32</v>
      </c>
      <c r="C190" s="47"/>
      <c r="D190" s="47" t="s">
        <v>62</v>
      </c>
      <c r="E190" s="49"/>
      <c r="F190" s="49" t="s">
        <v>493</v>
      </c>
      <c r="G190" s="49" t="s">
        <v>494</v>
      </c>
      <c r="H190" s="47" t="s">
        <v>495</v>
      </c>
      <c r="I190" s="43" t="str">
        <f t="shared" si="11"/>
        <v>外购件</v>
      </c>
      <c r="J190" s="44" t="str">
        <f t="shared" si="10"/>
        <v>外购件 深沟球轴承</v>
      </c>
      <c r="K190" s="43">
        <f>COUNTIF($J$2:J190,J190)</f>
        <v>1</v>
      </c>
    </row>
    <row r="191" spans="1:11">
      <c r="A191" s="47">
        <v>189</v>
      </c>
      <c r="B191" s="47">
        <f>IF(K191=1,COUNTIF($D$2:D191,D191),"")</f>
        <v>33</v>
      </c>
      <c r="C191" s="47"/>
      <c r="D191" s="47" t="s">
        <v>62</v>
      </c>
      <c r="E191" s="49"/>
      <c r="F191" s="49"/>
      <c r="G191" s="49" t="s">
        <v>496</v>
      </c>
      <c r="H191" s="47" t="s">
        <v>497</v>
      </c>
      <c r="I191" s="43" t="str">
        <f t="shared" si="11"/>
        <v>外购件</v>
      </c>
      <c r="J191" s="44" t="str">
        <f t="shared" si="10"/>
        <v>外购件 调心球轴承</v>
      </c>
      <c r="K191" s="43">
        <f>COUNTIF($J$2:J191,J191)</f>
        <v>1</v>
      </c>
    </row>
    <row r="192" spans="1:11">
      <c r="A192" s="47">
        <v>190</v>
      </c>
      <c r="B192" s="47">
        <f>IF(K192=1,COUNTIF($D$2:D192,D192),"")</f>
        <v>34</v>
      </c>
      <c r="C192" s="47"/>
      <c r="D192" s="47" t="s">
        <v>62</v>
      </c>
      <c r="E192" s="49"/>
      <c r="F192" s="49"/>
      <c r="G192" s="49" t="s">
        <v>498</v>
      </c>
      <c r="H192" s="47" t="s">
        <v>499</v>
      </c>
      <c r="I192" s="43" t="str">
        <f t="shared" si="11"/>
        <v>外购件</v>
      </c>
      <c r="J192" s="44" t="str">
        <f t="shared" si="10"/>
        <v>外购件 角接触球轴承</v>
      </c>
      <c r="K192" s="43">
        <f>COUNTIF($J$2:J192,J192)</f>
        <v>1</v>
      </c>
    </row>
    <row r="193" spans="1:11">
      <c r="A193" s="47">
        <v>191</v>
      </c>
      <c r="B193" s="47">
        <f>IF(K193=1,COUNTIF($D$2:D193,D193),"")</f>
        <v>35</v>
      </c>
      <c r="C193" s="47"/>
      <c r="D193" s="47" t="s">
        <v>62</v>
      </c>
      <c r="E193" s="49"/>
      <c r="F193" s="54"/>
      <c r="G193" s="49" t="s">
        <v>500</v>
      </c>
      <c r="H193" s="47" t="s">
        <v>501</v>
      </c>
      <c r="I193" s="43" t="str">
        <f t="shared" si="11"/>
        <v>外购件</v>
      </c>
      <c r="J193" s="44" t="str">
        <f t="shared" si="10"/>
        <v>外购件 圆柱滚子轴承</v>
      </c>
      <c r="K193" s="43">
        <f>COUNTIF($J$2:J193,J193)</f>
        <v>1</v>
      </c>
    </row>
    <row r="194" spans="1:11">
      <c r="A194" s="47">
        <v>192</v>
      </c>
      <c r="B194" s="47">
        <f>IF(K194=1,COUNTIF($D$2:D194,D194),"")</f>
        <v>36</v>
      </c>
      <c r="C194" s="47"/>
      <c r="D194" s="47" t="s">
        <v>62</v>
      </c>
      <c r="E194" s="49"/>
      <c r="F194" s="54"/>
      <c r="G194" s="49" t="s">
        <v>502</v>
      </c>
      <c r="H194" s="47" t="s">
        <v>503</v>
      </c>
      <c r="I194" s="43" t="str">
        <f t="shared" si="11"/>
        <v>外购件</v>
      </c>
      <c r="J194" s="44" t="str">
        <f t="shared" si="10"/>
        <v>外购件 调心滚子轴承</v>
      </c>
      <c r="K194" s="43">
        <f>COUNTIF($J$2:J194,J194)</f>
        <v>1</v>
      </c>
    </row>
    <row r="195" ht="17.4" spans="1:11">
      <c r="A195" s="47">
        <v>193</v>
      </c>
      <c r="B195" s="47">
        <f>IF(K195=1,COUNTIF($D$2:D195,D195),"")</f>
        <v>37</v>
      </c>
      <c r="C195" s="47"/>
      <c r="D195" s="47" t="s">
        <v>62</v>
      </c>
      <c r="E195" s="49"/>
      <c r="F195" s="54"/>
      <c r="G195" s="55" t="s">
        <v>504</v>
      </c>
      <c r="H195" s="47" t="s">
        <v>505</v>
      </c>
      <c r="I195" s="43" t="str">
        <f t="shared" si="11"/>
        <v>外购件</v>
      </c>
      <c r="J195" s="44" t="str">
        <f t="shared" si="10"/>
        <v>外购件 圆锥滚子轴承</v>
      </c>
      <c r="K195" s="43">
        <f>COUNTIF($J$2:J195,J195)</f>
        <v>1</v>
      </c>
    </row>
    <row r="196" ht="17.4" spans="1:11">
      <c r="A196" s="47">
        <v>194</v>
      </c>
      <c r="B196" s="47">
        <f>IF(K196=1,COUNTIF($D$2:D196,D196),"")</f>
        <v>38</v>
      </c>
      <c r="C196" s="47"/>
      <c r="D196" s="47" t="s">
        <v>62</v>
      </c>
      <c r="E196" s="49"/>
      <c r="F196" s="54"/>
      <c r="G196" s="55" t="s">
        <v>506</v>
      </c>
      <c r="H196" s="47" t="s">
        <v>507</v>
      </c>
      <c r="I196" s="43" t="str">
        <f t="shared" si="11"/>
        <v>外购件</v>
      </c>
      <c r="J196" s="44" t="str">
        <f t="shared" si="10"/>
        <v>外购件 推力球轴承</v>
      </c>
      <c r="K196" s="43">
        <f>COUNTIF($J$2:J196,J196)</f>
        <v>1</v>
      </c>
    </row>
    <row r="197" ht="17.4" spans="1:11">
      <c r="A197" s="47">
        <v>195</v>
      </c>
      <c r="B197" s="47">
        <f>IF(K197=1,COUNTIF($D$2:D197,D197),"")</f>
        <v>39</v>
      </c>
      <c r="C197" s="47"/>
      <c r="D197" s="47" t="s">
        <v>62</v>
      </c>
      <c r="E197" s="49"/>
      <c r="F197" s="54"/>
      <c r="G197" s="55" t="s">
        <v>508</v>
      </c>
      <c r="H197" s="47" t="s">
        <v>509</v>
      </c>
      <c r="I197" s="43" t="str">
        <f t="shared" si="11"/>
        <v>外购件</v>
      </c>
      <c r="J197" s="44" t="str">
        <f t="shared" si="10"/>
        <v>外购件 推力调心滚子轴承</v>
      </c>
      <c r="K197" s="43">
        <f>COUNTIF($J$2:J197,J197)</f>
        <v>1</v>
      </c>
    </row>
    <row r="198" spans="1:11">
      <c r="A198" s="47">
        <v>196</v>
      </c>
      <c r="B198" s="47">
        <f>IF(K198=1,COUNTIF($D$2:D198,D198),"")</f>
        <v>40</v>
      </c>
      <c r="C198" s="47"/>
      <c r="D198" s="47" t="s">
        <v>62</v>
      </c>
      <c r="E198" s="49"/>
      <c r="F198" s="47"/>
      <c r="G198" s="49" t="s">
        <v>510</v>
      </c>
      <c r="H198" s="47" t="s">
        <v>511</v>
      </c>
      <c r="I198" s="43" t="str">
        <f t="shared" si="11"/>
        <v>外购件</v>
      </c>
      <c r="J198" s="44" t="str">
        <f t="shared" si="10"/>
        <v>外购件 CARB圆环滚子轴承</v>
      </c>
      <c r="K198" s="43">
        <f>COUNTIF($J$2:J198,J198)</f>
        <v>1</v>
      </c>
    </row>
    <row r="199" spans="1:11">
      <c r="A199" s="47">
        <v>197</v>
      </c>
      <c r="B199" s="47">
        <f>IF(K199=1,COUNTIF($D$2:D199,D199),"")</f>
        <v>41</v>
      </c>
      <c r="C199" s="47"/>
      <c r="D199" s="47" t="s">
        <v>62</v>
      </c>
      <c r="E199" s="49"/>
      <c r="F199" s="49"/>
      <c r="G199" s="49" t="s">
        <v>512</v>
      </c>
      <c r="H199" s="47" t="s">
        <v>513</v>
      </c>
      <c r="I199" s="43" t="str">
        <f t="shared" si="11"/>
        <v>外购件</v>
      </c>
      <c r="J199" s="44" t="str">
        <f t="shared" si="10"/>
        <v>外购件 外球面球轴承</v>
      </c>
      <c r="K199" s="43">
        <f>COUNTIF($J$2:J199,J199)</f>
        <v>1</v>
      </c>
    </row>
    <row r="200" spans="1:11">
      <c r="A200" s="47">
        <v>198</v>
      </c>
      <c r="B200" s="47">
        <f>IF(K200=1,COUNTIF($D$2:D200,D200),"")</f>
        <v>42</v>
      </c>
      <c r="C200" s="47"/>
      <c r="D200" s="47" t="s">
        <v>62</v>
      </c>
      <c r="E200" s="49"/>
      <c r="F200" s="49"/>
      <c r="G200" s="49" t="s">
        <v>514</v>
      </c>
      <c r="H200" s="47" t="s">
        <v>515</v>
      </c>
      <c r="I200" s="43" t="str">
        <f t="shared" si="11"/>
        <v>外购件</v>
      </c>
      <c r="J200" s="44" t="str">
        <f t="shared" si="10"/>
        <v>外购件 紧定套</v>
      </c>
      <c r="K200" s="43">
        <f>COUNTIF($J$2:J200,J200)</f>
        <v>1</v>
      </c>
    </row>
    <row r="201" spans="1:11">
      <c r="A201" s="47">
        <v>199</v>
      </c>
      <c r="B201" s="47">
        <f>IF(K201=1,COUNTIF($D$2:D201,D201),"")</f>
        <v>43</v>
      </c>
      <c r="C201" s="47"/>
      <c r="D201" s="47" t="s">
        <v>62</v>
      </c>
      <c r="E201" s="49"/>
      <c r="F201" s="49"/>
      <c r="G201" s="49" t="s">
        <v>516</v>
      </c>
      <c r="H201" s="47" t="s">
        <v>517</v>
      </c>
      <c r="I201" s="43" t="str">
        <f t="shared" si="11"/>
        <v>外购件</v>
      </c>
      <c r="J201" s="44" t="str">
        <f t="shared" si="10"/>
        <v>外购件 锁紧螺母</v>
      </c>
      <c r="K201" s="43">
        <f>COUNTIF($J$2:J201,J201)</f>
        <v>1</v>
      </c>
    </row>
    <row r="202" spans="1:11">
      <c r="A202" s="47">
        <v>200</v>
      </c>
      <c r="B202" s="47">
        <f>IF(K202=1,COUNTIF($D$2:D202,D202),"")</f>
        <v>44</v>
      </c>
      <c r="C202" s="47"/>
      <c r="D202" s="47" t="s">
        <v>62</v>
      </c>
      <c r="E202" s="49"/>
      <c r="F202" s="49"/>
      <c r="G202" s="49" t="s">
        <v>518</v>
      </c>
      <c r="H202" s="47" t="s">
        <v>519</v>
      </c>
      <c r="I202" s="43" t="str">
        <f t="shared" si="11"/>
        <v>外购件</v>
      </c>
      <c r="J202" s="44" t="str">
        <f t="shared" si="10"/>
        <v>外购件 锁紧垫圈</v>
      </c>
      <c r="K202" s="43">
        <f>COUNTIF($J$2:J202,J202)</f>
        <v>1</v>
      </c>
    </row>
    <row r="203" spans="1:11">
      <c r="A203" s="47">
        <v>201</v>
      </c>
      <c r="B203" s="47">
        <f>IF(K203=1,COUNTIF($D$2:D203,D203),"")</f>
        <v>45</v>
      </c>
      <c r="C203" s="47"/>
      <c r="D203" s="47" t="s">
        <v>62</v>
      </c>
      <c r="E203" s="49"/>
      <c r="F203" s="49"/>
      <c r="G203" s="49" t="s">
        <v>520</v>
      </c>
      <c r="H203" s="47" t="s">
        <v>521</v>
      </c>
      <c r="I203" s="43" t="str">
        <f t="shared" si="11"/>
        <v>外购件</v>
      </c>
      <c r="J203" s="44" t="str">
        <f t="shared" si="10"/>
        <v>外购件 止推环</v>
      </c>
      <c r="K203" s="43">
        <f>COUNTIF($J$2:J203,J203)</f>
        <v>1</v>
      </c>
    </row>
    <row r="204" spans="1:11">
      <c r="A204" s="47">
        <v>202</v>
      </c>
      <c r="B204" s="47">
        <f>IF(K204=1,COUNTIF($D$2:D204,D204),"")</f>
        <v>46</v>
      </c>
      <c r="C204" s="47"/>
      <c r="D204" s="47" t="s">
        <v>62</v>
      </c>
      <c r="E204" s="49"/>
      <c r="F204" s="49"/>
      <c r="G204" s="49" t="s">
        <v>522</v>
      </c>
      <c r="H204" s="47" t="s">
        <v>523</v>
      </c>
      <c r="I204" s="43" t="str">
        <f t="shared" si="11"/>
        <v>外购件</v>
      </c>
      <c r="J204" s="44" t="str">
        <f t="shared" si="10"/>
        <v>外购件 SN系列轴承座</v>
      </c>
      <c r="K204" s="43">
        <f>COUNTIF($J$2:J204,J204)</f>
        <v>1</v>
      </c>
    </row>
    <row r="205" spans="1:11">
      <c r="A205" s="47">
        <v>203</v>
      </c>
      <c r="B205" s="47">
        <f>IF(K205=1,COUNTIF($D$2:D205,D205),"")</f>
        <v>47</v>
      </c>
      <c r="C205" s="47"/>
      <c r="D205" s="47" t="s">
        <v>62</v>
      </c>
      <c r="E205" s="49"/>
      <c r="F205" s="49"/>
      <c r="G205" s="49" t="s">
        <v>524</v>
      </c>
      <c r="H205" s="47" t="s">
        <v>525</v>
      </c>
      <c r="I205" s="43" t="str">
        <f t="shared" si="11"/>
        <v>外购件</v>
      </c>
      <c r="J205" s="44" t="str">
        <f t="shared" si="10"/>
        <v>外购件 U带座轴承座</v>
      </c>
      <c r="K205" s="43">
        <f>COUNTIF($J$2:J205,J205)</f>
        <v>1</v>
      </c>
    </row>
    <row r="206" spans="1:11">
      <c r="A206" s="47">
        <v>204</v>
      </c>
      <c r="B206" s="47">
        <f>IF(K206=1,COUNTIF($D$2:D206,D206),"")</f>
        <v>48</v>
      </c>
      <c r="C206" s="47"/>
      <c r="D206" s="47" t="s">
        <v>62</v>
      </c>
      <c r="E206" s="49"/>
      <c r="F206" s="49"/>
      <c r="G206" s="49" t="s">
        <v>526</v>
      </c>
      <c r="H206" s="47" t="s">
        <v>527</v>
      </c>
      <c r="I206" s="43" t="str">
        <f t="shared" si="11"/>
        <v>外购件</v>
      </c>
      <c r="J206" s="44" t="str">
        <f t="shared" si="10"/>
        <v>外购件 关节轴承</v>
      </c>
      <c r="K206" s="43">
        <f>COUNTIF($J$2:J206,J206)</f>
        <v>1</v>
      </c>
    </row>
    <row r="207" spans="1:11">
      <c r="A207" s="47">
        <v>205</v>
      </c>
      <c r="B207" s="47">
        <f>IF(K207=1,COUNTIF($D$2:D207,D207),"")</f>
        <v>49</v>
      </c>
      <c r="C207" s="47"/>
      <c r="D207" s="47" t="s">
        <v>62</v>
      </c>
      <c r="E207" s="49"/>
      <c r="F207" s="49"/>
      <c r="G207" s="49" t="s">
        <v>528</v>
      </c>
      <c r="H207" s="47" t="s">
        <v>529</v>
      </c>
      <c r="I207" s="43" t="str">
        <f t="shared" si="11"/>
        <v>外购件</v>
      </c>
      <c r="J207" s="44" t="str">
        <f t="shared" si="10"/>
        <v>外购件 自润滑轴承</v>
      </c>
      <c r="K207" s="43">
        <f>COUNTIF($J$2:J207,J207)</f>
        <v>1</v>
      </c>
    </row>
    <row r="208" spans="1:11">
      <c r="A208" s="47">
        <v>206</v>
      </c>
      <c r="B208" s="47">
        <f>IF(K208=1,COUNTIF($D$2:D208,D208),"")</f>
        <v>50</v>
      </c>
      <c r="C208" s="47"/>
      <c r="D208" s="47" t="s">
        <v>62</v>
      </c>
      <c r="E208" s="49"/>
      <c r="F208" s="49"/>
      <c r="G208" s="49" t="s">
        <v>530</v>
      </c>
      <c r="H208" s="47" t="s">
        <v>531</v>
      </c>
      <c r="I208" s="43" t="str">
        <f t="shared" si="11"/>
        <v>外购件</v>
      </c>
      <c r="J208" s="44" t="str">
        <f t="shared" si="10"/>
        <v>外购件 滚针轴承</v>
      </c>
      <c r="K208" s="43">
        <f>COUNTIF($J$2:J208,J208)</f>
        <v>1</v>
      </c>
    </row>
    <row r="209" spans="1:11">
      <c r="A209" s="47">
        <v>207</v>
      </c>
      <c r="B209" s="47">
        <f>IF(K209=1,COUNTIF($D$2:D209,D209),"")</f>
        <v>51</v>
      </c>
      <c r="C209" s="47"/>
      <c r="D209" s="47" t="s">
        <v>62</v>
      </c>
      <c r="E209" s="49"/>
      <c r="F209" s="49"/>
      <c r="G209" s="49" t="s">
        <v>532</v>
      </c>
      <c r="H209" s="47" t="s">
        <v>533</v>
      </c>
      <c r="I209" s="43" t="str">
        <f t="shared" si="11"/>
        <v>外购件</v>
      </c>
      <c r="J209" s="44" t="str">
        <f t="shared" si="10"/>
        <v>外购件 锁定扣</v>
      </c>
      <c r="K209" s="43">
        <f>COUNTIF($J$2:J209,J209)</f>
        <v>1</v>
      </c>
    </row>
    <row r="210" spans="1:11">
      <c r="A210" s="47">
        <v>208</v>
      </c>
      <c r="B210" s="47">
        <f>IF(K210=1,COUNTIF($D$2:D210,D210),"")</f>
        <v>52</v>
      </c>
      <c r="C210" s="47"/>
      <c r="D210" s="47" t="s">
        <v>62</v>
      </c>
      <c r="E210" s="49"/>
      <c r="F210" s="49"/>
      <c r="G210" s="49" t="s">
        <v>534</v>
      </c>
      <c r="H210" s="47" t="s">
        <v>535</v>
      </c>
      <c r="I210" s="43" t="str">
        <f t="shared" si="11"/>
        <v>外购件</v>
      </c>
      <c r="J210" s="44" t="str">
        <f t="shared" si="10"/>
        <v>外购件 退卸套</v>
      </c>
      <c r="K210" s="43">
        <f>COUNTIF($J$2:J210,J210)</f>
        <v>1</v>
      </c>
    </row>
    <row r="211" spans="1:11">
      <c r="A211" s="47">
        <v>209</v>
      </c>
      <c r="B211" s="47">
        <f>IF(K211=1,COUNTIF($D$2:D211,D211),"")</f>
        <v>53</v>
      </c>
      <c r="C211" s="47"/>
      <c r="D211" s="47" t="s">
        <v>62</v>
      </c>
      <c r="E211" s="49"/>
      <c r="F211" s="47"/>
      <c r="G211" s="49" t="s">
        <v>536</v>
      </c>
      <c r="H211" s="47" t="s">
        <v>537</v>
      </c>
      <c r="I211" s="43" t="str">
        <f t="shared" si="11"/>
        <v>外购件</v>
      </c>
      <c r="J211" s="44" t="str">
        <f t="shared" si="10"/>
        <v>外购件 定位环</v>
      </c>
      <c r="K211" s="43">
        <f>COUNTIF($J$2:J211,J211)</f>
        <v>1</v>
      </c>
    </row>
    <row r="212" spans="1:11">
      <c r="A212" s="47">
        <v>210</v>
      </c>
      <c r="B212" s="47">
        <f>IF(K212=1,COUNTIF($D$2:D212,D212),"")</f>
        <v>54</v>
      </c>
      <c r="C212" s="47"/>
      <c r="D212" s="47" t="s">
        <v>62</v>
      </c>
      <c r="E212" s="49"/>
      <c r="F212" s="49"/>
      <c r="G212" s="49" t="s">
        <v>538</v>
      </c>
      <c r="H212" s="47" t="s">
        <v>539</v>
      </c>
      <c r="I212" s="43" t="str">
        <f t="shared" si="11"/>
        <v>外购件</v>
      </c>
      <c r="J212" s="44" t="str">
        <f t="shared" si="10"/>
        <v>外购件 轴套轴瓦</v>
      </c>
      <c r="K212" s="43">
        <f>COUNTIF($J$2:J212,J212)</f>
        <v>1</v>
      </c>
    </row>
    <row r="213" spans="1:11">
      <c r="A213" s="47">
        <v>211</v>
      </c>
      <c r="B213" s="47">
        <f>IF(K213=1,COUNTIF($D$2:D213,D213),"")</f>
        <v>55</v>
      </c>
      <c r="C213" s="47"/>
      <c r="D213" s="47" t="s">
        <v>62</v>
      </c>
      <c r="E213" s="49"/>
      <c r="F213" s="49"/>
      <c r="G213" s="49" t="s">
        <v>540</v>
      </c>
      <c r="H213" s="47" t="s">
        <v>541</v>
      </c>
      <c r="I213" s="43" t="str">
        <f t="shared" si="11"/>
        <v>外购件</v>
      </c>
      <c r="J213" s="44" t="str">
        <f t="shared" si="10"/>
        <v>外购件 橡胶轴承</v>
      </c>
      <c r="K213" s="43">
        <f>COUNTIF($J$2:J213,J213)</f>
        <v>1</v>
      </c>
    </row>
    <row r="214" spans="1:11">
      <c r="A214" s="47">
        <v>212</v>
      </c>
      <c r="B214" s="47">
        <f>IF(K214=1,COUNTIF($D$2:D214,D214),"")</f>
        <v>56</v>
      </c>
      <c r="C214" s="47"/>
      <c r="D214" s="47" t="s">
        <v>62</v>
      </c>
      <c r="E214" s="49"/>
      <c r="F214" s="49"/>
      <c r="G214" s="49" t="s">
        <v>542</v>
      </c>
      <c r="H214" s="47" t="s">
        <v>543</v>
      </c>
      <c r="I214" s="43" t="str">
        <f t="shared" si="11"/>
        <v>外购件</v>
      </c>
      <c r="J214" s="44" t="str">
        <f t="shared" si="10"/>
        <v>外购件 塑料轴承</v>
      </c>
      <c r="K214" s="43">
        <f>COUNTIF($J$2:J214,J214)</f>
        <v>1</v>
      </c>
    </row>
    <row r="215" spans="1:11">
      <c r="A215" s="47">
        <v>213</v>
      </c>
      <c r="B215" s="47">
        <f>IF(K215=1,COUNTIF($D$2:D215,D215),"")</f>
        <v>57</v>
      </c>
      <c r="C215" s="47"/>
      <c r="D215" s="47" t="s">
        <v>62</v>
      </c>
      <c r="E215" s="54"/>
      <c r="F215" s="49" t="s">
        <v>544</v>
      </c>
      <c r="G215" s="49" t="s">
        <v>545</v>
      </c>
      <c r="H215" s="47" t="s">
        <v>546</v>
      </c>
      <c r="I215" s="43" t="str">
        <f t="shared" si="11"/>
        <v>外购件</v>
      </c>
      <c r="J215" s="44" t="str">
        <f t="shared" si="10"/>
        <v>外购件 凸缘联轴器</v>
      </c>
      <c r="K215" s="43">
        <f>COUNTIF($J$2:J215,J215)</f>
        <v>1</v>
      </c>
    </row>
    <row r="216" spans="1:11">
      <c r="A216" s="47">
        <v>214</v>
      </c>
      <c r="B216" s="47">
        <f>IF(K216=1,COUNTIF($D$2:D216,D216),"")</f>
        <v>58</v>
      </c>
      <c r="C216" s="47"/>
      <c r="D216" s="47" t="s">
        <v>62</v>
      </c>
      <c r="E216" s="49"/>
      <c r="F216" s="54"/>
      <c r="G216" s="49" t="s">
        <v>547</v>
      </c>
      <c r="H216" s="47" t="s">
        <v>548</v>
      </c>
      <c r="I216" s="43" t="str">
        <f t="shared" si="11"/>
        <v>外购件</v>
      </c>
      <c r="J216" s="44" t="str">
        <f t="shared" si="10"/>
        <v>外购件 弹性柱销联轴器</v>
      </c>
      <c r="K216" s="43">
        <f>COUNTIF($J$2:J216,J216)</f>
        <v>1</v>
      </c>
    </row>
    <row r="217" spans="1:11">
      <c r="A217" s="47">
        <v>215</v>
      </c>
      <c r="B217" s="47">
        <f>IF(K217=1,COUNTIF($D$2:D217,D217),"")</f>
        <v>59</v>
      </c>
      <c r="C217" s="47"/>
      <c r="D217" s="47" t="s">
        <v>62</v>
      </c>
      <c r="E217" s="49"/>
      <c r="F217" s="54"/>
      <c r="G217" s="49" t="s">
        <v>549</v>
      </c>
      <c r="H217" s="47" t="s">
        <v>550</v>
      </c>
      <c r="I217" s="43" t="str">
        <f t="shared" si="11"/>
        <v>外购件</v>
      </c>
      <c r="J217" s="44" t="str">
        <f t="shared" si="10"/>
        <v>外购件 鼓形齿式联轴器</v>
      </c>
      <c r="K217" s="43">
        <f>COUNTIF($J$2:J217,J217)</f>
        <v>1</v>
      </c>
    </row>
    <row r="218" spans="1:11">
      <c r="A218" s="47">
        <v>216</v>
      </c>
      <c r="B218" s="47">
        <f>IF(K218=1,COUNTIF($D$2:D218,D218),"")</f>
        <v>60</v>
      </c>
      <c r="C218" s="47"/>
      <c r="D218" s="47" t="s">
        <v>62</v>
      </c>
      <c r="E218" s="49"/>
      <c r="F218" s="54"/>
      <c r="G218" s="49" t="s">
        <v>551</v>
      </c>
      <c r="H218" s="47" t="s">
        <v>552</v>
      </c>
      <c r="I218" s="43" t="str">
        <f t="shared" si="11"/>
        <v>外购件</v>
      </c>
      <c r="J218" s="44" t="str">
        <f t="shared" si="10"/>
        <v>外购件 蛇形弹簧联轴器</v>
      </c>
      <c r="K218" s="43">
        <f>COUNTIF($J$2:J218,J218)</f>
        <v>1</v>
      </c>
    </row>
    <row r="219" spans="1:11">
      <c r="A219" s="47">
        <v>217</v>
      </c>
      <c r="B219" s="47">
        <f>IF(K219=1,COUNTIF($D$2:D219,D219),"")</f>
        <v>61</v>
      </c>
      <c r="C219" s="47"/>
      <c r="D219" s="47" t="s">
        <v>62</v>
      </c>
      <c r="E219" s="49"/>
      <c r="F219" s="54"/>
      <c r="G219" s="49" t="s">
        <v>553</v>
      </c>
      <c r="H219" s="47" t="s">
        <v>554</v>
      </c>
      <c r="I219" s="43" t="str">
        <f t="shared" si="11"/>
        <v>外购件</v>
      </c>
      <c r="J219" s="44" t="str">
        <f t="shared" si="10"/>
        <v>外购件 万向联轴器</v>
      </c>
      <c r="K219" s="43">
        <f>COUNTIF($J$2:J219,J219)</f>
        <v>1</v>
      </c>
    </row>
    <row r="220" spans="1:11">
      <c r="A220" s="47">
        <v>218</v>
      </c>
      <c r="B220" s="47">
        <f>IF(K220=1,COUNTIF($D$2:D220,D220),"")</f>
        <v>62</v>
      </c>
      <c r="C220" s="47"/>
      <c r="D220" s="47" t="s">
        <v>62</v>
      </c>
      <c r="E220" s="49"/>
      <c r="F220" s="54"/>
      <c r="G220" s="49" t="s">
        <v>555</v>
      </c>
      <c r="H220" s="47" t="s">
        <v>556</v>
      </c>
      <c r="I220" s="43" t="str">
        <f t="shared" si="11"/>
        <v>外购件</v>
      </c>
      <c r="J220" s="44" t="str">
        <f t="shared" si="10"/>
        <v>外购件 轮胎联轴器</v>
      </c>
      <c r="K220" s="43">
        <f>COUNTIF($J$2:J220,J220)</f>
        <v>1</v>
      </c>
    </row>
    <row r="221" spans="1:11">
      <c r="A221" s="47">
        <v>219</v>
      </c>
      <c r="B221" s="47">
        <f>IF(K221=1,COUNTIF($D$2:D221,D221),"")</f>
        <v>63</v>
      </c>
      <c r="C221" s="47"/>
      <c r="D221" s="47" t="s">
        <v>62</v>
      </c>
      <c r="E221" s="49"/>
      <c r="F221" s="54"/>
      <c r="G221" s="49" t="s">
        <v>557</v>
      </c>
      <c r="H221" s="47" t="s">
        <v>558</v>
      </c>
      <c r="I221" s="43" t="str">
        <f t="shared" si="11"/>
        <v>外购件</v>
      </c>
      <c r="J221" s="44" t="str">
        <f t="shared" si="10"/>
        <v>外购件 梅花联轴器</v>
      </c>
      <c r="K221" s="43">
        <f>COUNTIF($J$2:J221,J221)</f>
        <v>1</v>
      </c>
    </row>
    <row r="222" spans="1:11">
      <c r="A222" s="47">
        <v>220</v>
      </c>
      <c r="B222" s="47">
        <f>IF(K222=1,COUNTIF($D$2:D222,D222),"")</f>
        <v>64</v>
      </c>
      <c r="C222" s="47"/>
      <c r="D222" s="47" t="s">
        <v>62</v>
      </c>
      <c r="E222" s="49"/>
      <c r="F222" s="47"/>
      <c r="G222" s="49" t="s">
        <v>559</v>
      </c>
      <c r="H222" s="47" t="s">
        <v>560</v>
      </c>
      <c r="I222" s="43" t="str">
        <f t="shared" si="11"/>
        <v>外购件</v>
      </c>
      <c r="J222" s="44" t="str">
        <f t="shared" si="10"/>
        <v>外购件 膜片联轴器</v>
      </c>
      <c r="K222" s="43">
        <f>COUNTIF($J$2:J222,J222)</f>
        <v>1</v>
      </c>
    </row>
    <row r="223" spans="1:11">
      <c r="A223" s="47">
        <v>221</v>
      </c>
      <c r="B223" s="47">
        <f>IF(K223=1,COUNTIF($D$2:D223,D223),"")</f>
        <v>65</v>
      </c>
      <c r="C223" s="49"/>
      <c r="D223" s="47" t="s">
        <v>62</v>
      </c>
      <c r="E223" s="49"/>
      <c r="F223" s="49"/>
      <c r="G223" s="49" t="s">
        <v>561</v>
      </c>
      <c r="H223" s="47" t="s">
        <v>562</v>
      </c>
      <c r="I223" s="43" t="str">
        <f t="shared" si="11"/>
        <v>外购件</v>
      </c>
      <c r="J223" s="44" t="str">
        <f t="shared" si="10"/>
        <v>外购件 液力偶合器</v>
      </c>
      <c r="K223" s="43">
        <f>COUNTIF($J$2:J223,J223)</f>
        <v>1</v>
      </c>
    </row>
    <row r="224" spans="1:11">
      <c r="A224" s="47">
        <v>222</v>
      </c>
      <c r="B224" s="47">
        <f>IF(K224=1,COUNTIF($D$2:D224,D224),"")</f>
        <v>66</v>
      </c>
      <c r="C224" s="49"/>
      <c r="D224" s="47" t="s">
        <v>62</v>
      </c>
      <c r="E224" s="49"/>
      <c r="F224" s="49"/>
      <c r="G224" s="49" t="s">
        <v>563</v>
      </c>
      <c r="H224" s="47" t="s">
        <v>564</v>
      </c>
      <c r="I224" s="43" t="str">
        <f t="shared" si="11"/>
        <v>外购件</v>
      </c>
      <c r="J224" s="44" t="str">
        <f t="shared" si="10"/>
        <v>外购件 胀套</v>
      </c>
      <c r="K224" s="43">
        <f>COUNTIF($J$2:J224,J224)</f>
        <v>1</v>
      </c>
    </row>
    <row r="225" spans="1:11">
      <c r="A225" s="47">
        <v>223</v>
      </c>
      <c r="B225" s="47">
        <f>IF(K225=1,COUNTIF($D$2:D225,D225),"")</f>
        <v>67</v>
      </c>
      <c r="C225" s="49"/>
      <c r="D225" s="47" t="s">
        <v>62</v>
      </c>
      <c r="E225" s="49"/>
      <c r="F225" s="49"/>
      <c r="G225" s="49" t="s">
        <v>565</v>
      </c>
      <c r="H225" s="47" t="s">
        <v>566</v>
      </c>
      <c r="I225" s="43" t="str">
        <f t="shared" si="11"/>
        <v>外购件</v>
      </c>
      <c r="J225" s="44" t="str">
        <f t="shared" si="10"/>
        <v>外购件 冲压外圈滚针离合器</v>
      </c>
      <c r="K225" s="43">
        <f>COUNTIF($J$2:J225,J225)</f>
        <v>1</v>
      </c>
    </row>
    <row r="226" spans="1:11">
      <c r="A226" s="47">
        <v>224</v>
      </c>
      <c r="B226" s="47">
        <f>IF(K226=1,COUNTIF($D$2:D226,D226),"")</f>
        <v>68</v>
      </c>
      <c r="C226" s="49"/>
      <c r="D226" s="47" t="s">
        <v>62</v>
      </c>
      <c r="E226" s="49"/>
      <c r="F226" s="49" t="s">
        <v>567</v>
      </c>
      <c r="G226" s="49" t="s">
        <v>568</v>
      </c>
      <c r="H226" s="47" t="s">
        <v>569</v>
      </c>
      <c r="I226" s="43" t="str">
        <f t="shared" si="11"/>
        <v>外购件</v>
      </c>
      <c r="J226" s="44" t="str">
        <f t="shared" si="10"/>
        <v>外购件 ASME法兰</v>
      </c>
      <c r="K226" s="43">
        <f>COUNTIF($J$2:J226,J226)</f>
        <v>1</v>
      </c>
    </row>
    <row r="227" spans="1:11">
      <c r="A227" s="47">
        <v>225</v>
      </c>
      <c r="B227" s="47">
        <f>IF(K227=1,COUNTIF($D$2:D227,D227),"")</f>
        <v>69</v>
      </c>
      <c r="C227" s="49"/>
      <c r="D227" s="47" t="s">
        <v>62</v>
      </c>
      <c r="E227" s="49"/>
      <c r="F227" s="49"/>
      <c r="G227" s="49" t="s">
        <v>570</v>
      </c>
      <c r="H227" s="47" t="s">
        <v>571</v>
      </c>
      <c r="I227" s="43" t="str">
        <f t="shared" si="11"/>
        <v>外购件</v>
      </c>
      <c r="J227" s="44" t="str">
        <f t="shared" si="10"/>
        <v>外购件 ASME垫片</v>
      </c>
      <c r="K227" s="43">
        <f>COUNTIF($J$2:J227,J227)</f>
        <v>1</v>
      </c>
    </row>
    <row r="228" spans="1:11">
      <c r="A228" s="47">
        <v>226</v>
      </c>
      <c r="B228" s="47">
        <f>IF(K228=1,COUNTIF($D$2:D228,D228),"")</f>
        <v>70</v>
      </c>
      <c r="C228" s="49"/>
      <c r="D228" s="47" t="s">
        <v>62</v>
      </c>
      <c r="E228" s="49"/>
      <c r="F228" s="49"/>
      <c r="G228" s="49" t="s">
        <v>572</v>
      </c>
      <c r="H228" s="47" t="s">
        <v>573</v>
      </c>
      <c r="I228" s="43" t="str">
        <f t="shared" si="11"/>
        <v>外购件</v>
      </c>
      <c r="J228" s="44" t="str">
        <f t="shared" si="10"/>
        <v>外购件 ASME法兰管件</v>
      </c>
      <c r="K228" s="43">
        <f>COUNTIF($J$2:J228,J228)</f>
        <v>1</v>
      </c>
    </row>
    <row r="229" spans="1:11">
      <c r="A229" s="47">
        <v>227</v>
      </c>
      <c r="B229" s="47">
        <f>IF(K229=1,COUNTIF($D$2:D229,D229),"")</f>
        <v>71</v>
      </c>
      <c r="C229" s="49"/>
      <c r="D229" s="47" t="s">
        <v>62</v>
      </c>
      <c r="E229" s="49"/>
      <c r="F229" s="49"/>
      <c r="G229" s="49" t="s">
        <v>574</v>
      </c>
      <c r="H229" s="47" t="s">
        <v>575</v>
      </c>
      <c r="I229" s="43" t="str">
        <f t="shared" si="11"/>
        <v>外购件</v>
      </c>
      <c r="J229" s="44" t="str">
        <f t="shared" si="10"/>
        <v>外购件 GB法兰</v>
      </c>
      <c r="K229" s="43">
        <f>COUNTIF($J$2:J229,J229)</f>
        <v>1</v>
      </c>
    </row>
    <row r="230" spans="1:11">
      <c r="A230" s="47">
        <v>228</v>
      </c>
      <c r="B230" s="47">
        <f>IF(K230=1,COUNTIF($D$2:D230,D230),"")</f>
        <v>72</v>
      </c>
      <c r="C230" s="47"/>
      <c r="D230" s="47" t="s">
        <v>62</v>
      </c>
      <c r="E230" s="49"/>
      <c r="F230" s="49"/>
      <c r="G230" s="49" t="s">
        <v>576</v>
      </c>
      <c r="H230" s="47" t="s">
        <v>577</v>
      </c>
      <c r="I230" s="43" t="str">
        <f t="shared" si="11"/>
        <v>外购件</v>
      </c>
      <c r="J230" s="44" t="str">
        <f t="shared" ref="J230:J268" si="12">CONCATENATE(I230," ",G230)</f>
        <v>外购件 GB垫片</v>
      </c>
      <c r="K230" s="43">
        <f>COUNTIF($J$2:J230,J230)</f>
        <v>1</v>
      </c>
    </row>
    <row r="231" spans="1:11">
      <c r="A231" s="47">
        <v>229</v>
      </c>
      <c r="B231" s="47">
        <f>IF(K231=1,COUNTIF($D$2:D231,D231),"")</f>
        <v>73</v>
      </c>
      <c r="C231" s="47"/>
      <c r="D231" s="47" t="s">
        <v>62</v>
      </c>
      <c r="E231" s="49"/>
      <c r="F231" s="47"/>
      <c r="G231" s="49" t="s">
        <v>578</v>
      </c>
      <c r="H231" s="47" t="s">
        <v>579</v>
      </c>
      <c r="I231" s="43" t="str">
        <f t="shared" si="11"/>
        <v>外购件</v>
      </c>
      <c r="J231" s="44" t="str">
        <f t="shared" si="12"/>
        <v>外购件 GB法兰管件</v>
      </c>
      <c r="K231" s="43">
        <f>COUNTIF($J$2:J231,J231)</f>
        <v>1</v>
      </c>
    </row>
    <row r="232" spans="1:11">
      <c r="A232" s="47">
        <v>230</v>
      </c>
      <c r="B232" s="47">
        <f>IF(K232=1,COUNTIF($D$2:D232,D232),"")</f>
        <v>74</v>
      </c>
      <c r="C232" s="47"/>
      <c r="D232" s="47" t="s">
        <v>62</v>
      </c>
      <c r="E232" s="49"/>
      <c r="F232" s="49" t="s">
        <v>580</v>
      </c>
      <c r="G232" s="49" t="s">
        <v>581</v>
      </c>
      <c r="H232" s="47" t="s">
        <v>582</v>
      </c>
      <c r="I232" s="43" t="str">
        <f t="shared" si="11"/>
        <v>外购件</v>
      </c>
      <c r="J232" s="44" t="str">
        <f t="shared" si="12"/>
        <v>外购件 压缩弹簧</v>
      </c>
      <c r="K232" s="43">
        <f>COUNTIF($J$2:J232,J232)</f>
        <v>1</v>
      </c>
    </row>
    <row r="233" spans="1:11">
      <c r="A233" s="47">
        <v>231</v>
      </c>
      <c r="B233" s="47">
        <f>IF(K233=1,COUNTIF($D$2:D233,D233),"")</f>
        <v>75</v>
      </c>
      <c r="C233" s="47"/>
      <c r="D233" s="47" t="s">
        <v>62</v>
      </c>
      <c r="E233" s="49"/>
      <c r="F233" s="49"/>
      <c r="G233" s="49" t="s">
        <v>583</v>
      </c>
      <c r="H233" s="47" t="s">
        <v>584</v>
      </c>
      <c r="I233" s="43" t="str">
        <f t="shared" si="11"/>
        <v>外购件</v>
      </c>
      <c r="J233" s="44" t="str">
        <f t="shared" si="12"/>
        <v>外购件 拉伸弹簧</v>
      </c>
      <c r="K233" s="43">
        <f>COUNTIF($J$2:J233,J233)</f>
        <v>1</v>
      </c>
    </row>
    <row r="234" spans="1:11">
      <c r="A234" s="47">
        <v>232</v>
      </c>
      <c r="B234" s="47">
        <f>IF(K234=1,COUNTIF($D$2:D234,D234),"")</f>
        <v>76</v>
      </c>
      <c r="C234" s="47"/>
      <c r="D234" s="47" t="s">
        <v>62</v>
      </c>
      <c r="E234" s="49"/>
      <c r="F234" s="49"/>
      <c r="G234" s="49" t="s">
        <v>585</v>
      </c>
      <c r="H234" s="47" t="s">
        <v>586</v>
      </c>
      <c r="I234" s="43" t="str">
        <f t="shared" si="11"/>
        <v>外购件</v>
      </c>
      <c r="J234" s="44" t="str">
        <f t="shared" si="12"/>
        <v>外购件 扭转弹簧</v>
      </c>
      <c r="K234" s="43">
        <f>COUNTIF($J$2:J234,J234)</f>
        <v>1</v>
      </c>
    </row>
    <row r="235" spans="1:11">
      <c r="A235" s="47">
        <v>233</v>
      </c>
      <c r="B235" s="47">
        <f>IF(K235=1,COUNTIF($D$2:D235,D235),"")</f>
        <v>77</v>
      </c>
      <c r="C235" s="47"/>
      <c r="D235" s="47" t="s">
        <v>62</v>
      </c>
      <c r="E235" s="49"/>
      <c r="F235" s="49"/>
      <c r="G235" s="49" t="s">
        <v>587</v>
      </c>
      <c r="H235" s="47" t="s">
        <v>588</v>
      </c>
      <c r="I235" s="43" t="str">
        <f t="shared" si="11"/>
        <v>外购件</v>
      </c>
      <c r="J235" s="44" t="str">
        <f t="shared" si="12"/>
        <v>外购件 碟形弹簧</v>
      </c>
      <c r="K235" s="43">
        <f>COUNTIF($J$2:J235,J235)</f>
        <v>1</v>
      </c>
    </row>
    <row r="236" spans="1:11">
      <c r="A236" s="47">
        <v>234</v>
      </c>
      <c r="B236" s="47">
        <f>IF(K236=1,COUNTIF($D$2:D236,D236),"")</f>
        <v>78</v>
      </c>
      <c r="C236" s="47"/>
      <c r="D236" s="47" t="s">
        <v>62</v>
      </c>
      <c r="E236" s="49"/>
      <c r="F236" s="49"/>
      <c r="G236" s="49" t="s">
        <v>589</v>
      </c>
      <c r="H236" s="47" t="s">
        <v>590</v>
      </c>
      <c r="I236" s="43" t="str">
        <f t="shared" si="11"/>
        <v>外购件</v>
      </c>
      <c r="J236" s="44" t="str">
        <f t="shared" si="12"/>
        <v>外购件 模具弹簧</v>
      </c>
      <c r="K236" s="43">
        <f>COUNTIF($J$2:J236,J236)</f>
        <v>1</v>
      </c>
    </row>
    <row r="237" spans="1:11">
      <c r="A237" s="47">
        <v>235</v>
      </c>
      <c r="B237" s="47">
        <f>IF(K237=1,COUNTIF($D$2:D237,D237),"")</f>
        <v>79</v>
      </c>
      <c r="C237" s="47"/>
      <c r="D237" s="47" t="s">
        <v>62</v>
      </c>
      <c r="E237" s="49"/>
      <c r="F237" s="49" t="s">
        <v>591</v>
      </c>
      <c r="G237" s="49" t="s">
        <v>592</v>
      </c>
      <c r="H237" s="47" t="s">
        <v>593</v>
      </c>
      <c r="I237" s="43" t="str">
        <f t="shared" si="11"/>
        <v>外购件</v>
      </c>
      <c r="J237" s="44" t="str">
        <f t="shared" si="12"/>
        <v>外购件 润滑件</v>
      </c>
      <c r="K237" s="43">
        <f>COUNTIF($J$2:J237,J237)</f>
        <v>1</v>
      </c>
    </row>
    <row r="238" spans="1:11">
      <c r="A238" s="47">
        <v>236</v>
      </c>
      <c r="B238" s="47">
        <f>IF(K238=1,COUNTIF($D$2:D238,D238),"")</f>
        <v>80</v>
      </c>
      <c r="C238" s="47"/>
      <c r="D238" s="47" t="s">
        <v>62</v>
      </c>
      <c r="E238" s="49"/>
      <c r="F238" s="49"/>
      <c r="G238" s="49" t="s">
        <v>594</v>
      </c>
      <c r="H238" s="47" t="s">
        <v>595</v>
      </c>
      <c r="I238" s="43" t="str">
        <f t="shared" ref="I238:I268" si="13">IF(COUNTA(C238)=1,C238,I237)</f>
        <v>外购件</v>
      </c>
      <c r="J238" s="44" t="str">
        <f t="shared" si="12"/>
        <v>外购件 润滑剂</v>
      </c>
      <c r="K238" s="43">
        <f>COUNTIF($J$2:J238,J238)</f>
        <v>1</v>
      </c>
    </row>
    <row r="239" spans="1:11">
      <c r="A239" s="47">
        <v>237</v>
      </c>
      <c r="B239" s="47">
        <f>IF(K239=1,COUNTIF($D$2:D239,D239),"")</f>
        <v>81</v>
      </c>
      <c r="C239" s="47"/>
      <c r="D239" s="47" t="s">
        <v>62</v>
      </c>
      <c r="E239" s="49"/>
      <c r="F239" s="49"/>
      <c r="G239" s="49" t="s">
        <v>596</v>
      </c>
      <c r="H239" s="47" t="s">
        <v>597</v>
      </c>
      <c r="I239" s="43" t="str">
        <f t="shared" si="13"/>
        <v>外购件</v>
      </c>
      <c r="J239" s="44" t="str">
        <f t="shared" si="12"/>
        <v>外购件 密封胶密封</v>
      </c>
      <c r="K239" s="43">
        <f>COUNTIF($J$2:J239,J239)</f>
        <v>1</v>
      </c>
    </row>
    <row r="240" spans="1:11">
      <c r="A240" s="47">
        <v>238</v>
      </c>
      <c r="B240" s="47">
        <f>IF(K240=1,COUNTIF($D$2:D240,D240),"")</f>
        <v>82</v>
      </c>
      <c r="C240" s="47"/>
      <c r="D240" s="47" t="s">
        <v>62</v>
      </c>
      <c r="E240" s="49"/>
      <c r="F240" s="49"/>
      <c r="G240" s="49" t="s">
        <v>598</v>
      </c>
      <c r="H240" s="47" t="s">
        <v>599</v>
      </c>
      <c r="I240" s="43" t="str">
        <f t="shared" si="13"/>
        <v>外购件</v>
      </c>
      <c r="J240" s="44" t="str">
        <f t="shared" si="12"/>
        <v>外购件 填料密封</v>
      </c>
      <c r="K240" s="43">
        <f>COUNTIF($J$2:J240,J240)</f>
        <v>1</v>
      </c>
    </row>
    <row r="241" spans="1:11">
      <c r="A241" s="47">
        <v>239</v>
      </c>
      <c r="B241" s="47">
        <f>IF(K241=1,COUNTIF($D$2:D241,D241),"")</f>
        <v>83</v>
      </c>
      <c r="C241" s="47"/>
      <c r="D241" s="47" t="s">
        <v>62</v>
      </c>
      <c r="E241" s="49"/>
      <c r="F241" s="49"/>
      <c r="G241" s="49" t="s">
        <v>600</v>
      </c>
      <c r="H241" s="47" t="s">
        <v>601</v>
      </c>
      <c r="I241" s="43" t="str">
        <f t="shared" si="13"/>
        <v>外购件</v>
      </c>
      <c r="J241" s="44" t="str">
        <f t="shared" si="12"/>
        <v>外购件 橡胶密封</v>
      </c>
      <c r="K241" s="43">
        <f>COUNTIF($J$2:J241,J241)</f>
        <v>1</v>
      </c>
    </row>
    <row r="242" spans="1:11">
      <c r="A242" s="47">
        <v>240</v>
      </c>
      <c r="B242" s="47">
        <f>IF(K242=1,COUNTIF($D$2:D242,D242),"")</f>
        <v>84</v>
      </c>
      <c r="C242" s="47"/>
      <c r="D242" s="47" t="s">
        <v>62</v>
      </c>
      <c r="E242" s="49"/>
      <c r="F242" s="49"/>
      <c r="G242" s="49" t="s">
        <v>602</v>
      </c>
      <c r="H242" s="47" t="s">
        <v>603</v>
      </c>
      <c r="I242" s="43" t="str">
        <f t="shared" si="13"/>
        <v>外购件</v>
      </c>
      <c r="J242" s="44" t="str">
        <f t="shared" si="12"/>
        <v>外购件 机械密封</v>
      </c>
      <c r="K242" s="43">
        <f>COUNTIF($J$2:J242,J242)</f>
        <v>1</v>
      </c>
    </row>
    <row r="243" spans="1:11">
      <c r="A243" s="47">
        <v>241</v>
      </c>
      <c r="B243" s="47">
        <f>IF(K243=1,COUNTIF($D$2:D243,D243),"")</f>
        <v>85</v>
      </c>
      <c r="C243" s="47"/>
      <c r="D243" s="47" t="s">
        <v>62</v>
      </c>
      <c r="E243" s="49"/>
      <c r="F243" s="49" t="s">
        <v>604</v>
      </c>
      <c r="G243" s="49" t="s">
        <v>605</v>
      </c>
      <c r="H243" s="47" t="s">
        <v>606</v>
      </c>
      <c r="I243" s="43" t="str">
        <f t="shared" si="13"/>
        <v>外购件</v>
      </c>
      <c r="J243" s="44" t="str">
        <f t="shared" si="12"/>
        <v>外购件 普通V带</v>
      </c>
      <c r="K243" s="43">
        <f>COUNTIF($J$2:J243,J243)</f>
        <v>1</v>
      </c>
    </row>
    <row r="244" spans="1:11">
      <c r="A244" s="47">
        <v>242</v>
      </c>
      <c r="B244" s="47">
        <f>IF(K244=1,COUNTIF($D$2:D244,D244),"")</f>
        <v>86</v>
      </c>
      <c r="C244" s="47"/>
      <c r="D244" s="47" t="s">
        <v>62</v>
      </c>
      <c r="E244" s="49"/>
      <c r="F244" s="49"/>
      <c r="G244" s="49" t="s">
        <v>607</v>
      </c>
      <c r="H244" s="47" t="s">
        <v>608</v>
      </c>
      <c r="I244" s="43" t="str">
        <f t="shared" si="13"/>
        <v>外购件</v>
      </c>
      <c r="J244" s="44" t="str">
        <f t="shared" si="12"/>
        <v>外购件 基准宽度窄V带</v>
      </c>
      <c r="K244" s="43">
        <f>COUNTIF($J$2:J244,J244)</f>
        <v>1</v>
      </c>
    </row>
    <row r="245" spans="1:11">
      <c r="A245" s="47">
        <v>243</v>
      </c>
      <c r="B245" s="47">
        <f>IF(K245=1,COUNTIF($D$2:D245,D245),"")</f>
        <v>87</v>
      </c>
      <c r="C245" s="47"/>
      <c r="D245" s="47" t="s">
        <v>62</v>
      </c>
      <c r="E245" s="49"/>
      <c r="F245" s="49"/>
      <c r="G245" s="49" t="s">
        <v>609</v>
      </c>
      <c r="H245" s="47" t="s">
        <v>610</v>
      </c>
      <c r="I245" s="43" t="str">
        <f t="shared" si="13"/>
        <v>外购件</v>
      </c>
      <c r="J245" s="44" t="str">
        <f t="shared" si="12"/>
        <v>外购件 联组窄V带</v>
      </c>
      <c r="K245" s="43">
        <f>COUNTIF($J$2:J245,J245)</f>
        <v>1</v>
      </c>
    </row>
    <row r="246" spans="1:11">
      <c r="A246" s="47">
        <v>244</v>
      </c>
      <c r="B246" s="47">
        <f>IF(K246=1,COUNTIF($D$2:D246,D246),"")</f>
        <v>88</v>
      </c>
      <c r="C246" s="47"/>
      <c r="D246" s="47" t="s">
        <v>62</v>
      </c>
      <c r="E246" s="49"/>
      <c r="F246" s="49"/>
      <c r="G246" s="49" t="s">
        <v>611</v>
      </c>
      <c r="H246" s="47" t="s">
        <v>612</v>
      </c>
      <c r="I246" s="43" t="str">
        <f t="shared" si="13"/>
        <v>外购件</v>
      </c>
      <c r="J246" s="44" t="str">
        <f t="shared" si="12"/>
        <v>外购件 圆弧齿同步带</v>
      </c>
      <c r="K246" s="43">
        <f>COUNTIF($J$2:J246,J246)</f>
        <v>1</v>
      </c>
    </row>
    <row r="247" spans="1:11">
      <c r="A247" s="47">
        <v>245</v>
      </c>
      <c r="B247" s="47">
        <f>IF(K247=1,COUNTIF($D$2:D247,D247),"")</f>
        <v>89</v>
      </c>
      <c r="C247" s="47"/>
      <c r="D247" s="47" t="s">
        <v>62</v>
      </c>
      <c r="E247" s="49"/>
      <c r="F247" s="54"/>
      <c r="G247" s="49" t="s">
        <v>613</v>
      </c>
      <c r="H247" s="47" t="s">
        <v>614</v>
      </c>
      <c r="I247" s="43" t="str">
        <f t="shared" si="13"/>
        <v>外购件</v>
      </c>
      <c r="J247" s="44" t="str">
        <f t="shared" si="12"/>
        <v>外购件 有效宽度窄V带</v>
      </c>
      <c r="K247" s="43">
        <f>COUNTIF($J$2:J247,J247)</f>
        <v>1</v>
      </c>
    </row>
    <row r="248" spans="1:11">
      <c r="A248" s="47">
        <v>246</v>
      </c>
      <c r="B248" s="47">
        <f>IF(K248=1,COUNTIF($D$2:D248,D248),"")</f>
        <v>90</v>
      </c>
      <c r="C248" s="47"/>
      <c r="D248" s="47" t="s">
        <v>62</v>
      </c>
      <c r="E248" s="49"/>
      <c r="F248" s="54"/>
      <c r="G248" s="49" t="s">
        <v>615</v>
      </c>
      <c r="H248" s="47" t="s">
        <v>616</v>
      </c>
      <c r="I248" s="43" t="str">
        <f t="shared" si="13"/>
        <v>外购件</v>
      </c>
      <c r="J248" s="44" t="str">
        <f t="shared" si="12"/>
        <v>外购件 精密滚子链</v>
      </c>
      <c r="K248" s="43">
        <f>COUNTIF($J$2:J248,J248)</f>
        <v>1</v>
      </c>
    </row>
    <row r="249" spans="1:11">
      <c r="A249" s="47">
        <v>247</v>
      </c>
      <c r="B249" s="47">
        <f>IF(K249=1,COUNTIF($D$2:D249,D249),"")</f>
        <v>91</v>
      </c>
      <c r="C249" s="47"/>
      <c r="D249" s="47" t="s">
        <v>62</v>
      </c>
      <c r="E249" s="49"/>
      <c r="F249" s="49"/>
      <c r="G249" s="49" t="s">
        <v>617</v>
      </c>
      <c r="H249" s="47" t="s">
        <v>618</v>
      </c>
      <c r="I249" s="43" t="str">
        <f t="shared" si="13"/>
        <v>外购件</v>
      </c>
      <c r="J249" s="44" t="str">
        <f t="shared" si="12"/>
        <v>外购件 焊接弯板链</v>
      </c>
      <c r="K249" s="43">
        <f>COUNTIF($J$2:J249,J249)</f>
        <v>1</v>
      </c>
    </row>
    <row r="250" spans="1:11">
      <c r="A250" s="47">
        <v>248</v>
      </c>
      <c r="B250" s="47">
        <f>IF(K250=1,COUNTIF($D$2:D250,D250),"")</f>
        <v>92</v>
      </c>
      <c r="C250" s="47"/>
      <c r="D250" s="47" t="s">
        <v>62</v>
      </c>
      <c r="E250" s="49"/>
      <c r="F250" s="49"/>
      <c r="G250" s="49" t="s">
        <v>619</v>
      </c>
      <c r="H250" s="47" t="s">
        <v>620</v>
      </c>
      <c r="I250" s="43" t="str">
        <f t="shared" si="13"/>
        <v>外购件</v>
      </c>
      <c r="J250" s="44" t="str">
        <f t="shared" si="12"/>
        <v>外购件 钢制套筒链</v>
      </c>
      <c r="K250" s="43">
        <f>COUNTIF($J$2:J250,J250)</f>
        <v>1</v>
      </c>
    </row>
    <row r="251" spans="1:11">
      <c r="A251" s="47">
        <v>249</v>
      </c>
      <c r="B251" s="47">
        <f>IF(K251=1,COUNTIF($D$2:D251,D251),"")</f>
        <v>93</v>
      </c>
      <c r="C251" s="47"/>
      <c r="D251" s="47" t="s">
        <v>62</v>
      </c>
      <c r="E251" s="49"/>
      <c r="F251" s="49" t="s">
        <v>621</v>
      </c>
      <c r="G251" s="49" t="s">
        <v>622</v>
      </c>
      <c r="H251" s="47" t="s">
        <v>623</v>
      </c>
      <c r="I251" s="43" t="str">
        <f t="shared" si="13"/>
        <v>外购件</v>
      </c>
      <c r="J251" s="44" t="str">
        <f t="shared" si="12"/>
        <v>外购件 把手</v>
      </c>
      <c r="K251" s="43">
        <f>COUNTIF($J$2:J251,J251)</f>
        <v>1</v>
      </c>
    </row>
    <row r="252" spans="1:11">
      <c r="A252" s="47">
        <v>250</v>
      </c>
      <c r="B252" s="47">
        <f>IF(K252=1,COUNTIF($D$2:D252,D252),"")</f>
        <v>94</v>
      </c>
      <c r="C252" s="47"/>
      <c r="D252" s="47" t="s">
        <v>62</v>
      </c>
      <c r="E252" s="49"/>
      <c r="F252" s="49"/>
      <c r="G252" s="49" t="s">
        <v>624</v>
      </c>
      <c r="H252" s="47" t="s">
        <v>625</v>
      </c>
      <c r="I252" s="43" t="str">
        <f t="shared" si="13"/>
        <v>外购件</v>
      </c>
      <c r="J252" s="44" t="str">
        <f t="shared" si="12"/>
        <v>外购件 拉手</v>
      </c>
      <c r="K252" s="43">
        <f>COUNTIF($J$2:J252,J252)</f>
        <v>1</v>
      </c>
    </row>
    <row r="253" spans="1:11">
      <c r="A253" s="47">
        <v>251</v>
      </c>
      <c r="B253" s="47">
        <f>IF(K253=1,COUNTIF($D$2:D253,D253),"")</f>
        <v>95</v>
      </c>
      <c r="C253" s="47"/>
      <c r="D253" s="47" t="s">
        <v>62</v>
      </c>
      <c r="E253" s="49"/>
      <c r="F253" s="49"/>
      <c r="G253" s="49" t="s">
        <v>626</v>
      </c>
      <c r="H253" s="47" t="s">
        <v>627</v>
      </c>
      <c r="I253" s="43" t="str">
        <f t="shared" si="13"/>
        <v>外购件</v>
      </c>
      <c r="J253" s="44" t="str">
        <f t="shared" si="12"/>
        <v>外购件 手柄</v>
      </c>
      <c r="K253" s="43">
        <f>COUNTIF($J$2:J253,J253)</f>
        <v>1</v>
      </c>
    </row>
    <row r="254" spans="1:11">
      <c r="A254" s="47">
        <v>252</v>
      </c>
      <c r="B254" s="47">
        <f>IF(K254=1,COUNTIF($D$2:D254,D254),"")</f>
        <v>96</v>
      </c>
      <c r="C254" s="47"/>
      <c r="D254" s="47" t="s">
        <v>62</v>
      </c>
      <c r="E254" s="49"/>
      <c r="F254" s="49"/>
      <c r="G254" s="49" t="s">
        <v>628</v>
      </c>
      <c r="H254" s="47" t="s">
        <v>629</v>
      </c>
      <c r="I254" s="43" t="str">
        <f t="shared" si="13"/>
        <v>外购件</v>
      </c>
      <c r="J254" s="44" t="str">
        <f t="shared" si="12"/>
        <v>外购件 手轮</v>
      </c>
      <c r="K254" s="43">
        <f>COUNTIF($J$2:J254,J254)</f>
        <v>1</v>
      </c>
    </row>
    <row r="255" spans="1:11">
      <c r="A255" s="47">
        <v>253</v>
      </c>
      <c r="B255" s="47">
        <f>IF(K255=1,COUNTIF($D$2:D255,D255),"")</f>
        <v>97</v>
      </c>
      <c r="C255" s="47"/>
      <c r="D255" s="47" t="s">
        <v>62</v>
      </c>
      <c r="E255" s="49"/>
      <c r="F255" s="49"/>
      <c r="G255" s="49" t="s">
        <v>630</v>
      </c>
      <c r="H255" s="47" t="s">
        <v>631</v>
      </c>
      <c r="I255" s="43" t="str">
        <f t="shared" si="13"/>
        <v>外购件</v>
      </c>
      <c r="J255" s="44" t="str">
        <f t="shared" si="12"/>
        <v>外购件 脚轮</v>
      </c>
      <c r="K255" s="43">
        <f>COUNTIF($J$2:J255,J255)</f>
        <v>1</v>
      </c>
    </row>
    <row r="256" spans="1:11">
      <c r="A256" s="47">
        <v>254</v>
      </c>
      <c r="B256" s="47">
        <f>IF(K256=1,COUNTIF($D$2:D256,D256),"")</f>
        <v>98</v>
      </c>
      <c r="C256" s="47"/>
      <c r="D256" s="47" t="s">
        <v>62</v>
      </c>
      <c r="E256" s="49"/>
      <c r="F256" s="49"/>
      <c r="G256" s="49" t="s">
        <v>632</v>
      </c>
      <c r="H256" s="47" t="s">
        <v>633</v>
      </c>
      <c r="I256" s="43" t="str">
        <f t="shared" si="13"/>
        <v>外购件</v>
      </c>
      <c r="J256" s="44" t="str">
        <f t="shared" si="12"/>
        <v>外购件 合页</v>
      </c>
      <c r="K256" s="43">
        <f>COUNTIF($J$2:J256,J256)</f>
        <v>1</v>
      </c>
    </row>
    <row r="257" spans="1:11">
      <c r="A257" s="47">
        <v>255</v>
      </c>
      <c r="B257" s="47">
        <f>IF(K257=1,COUNTIF($D$2:D257,D257),"")</f>
        <v>99</v>
      </c>
      <c r="C257" s="47"/>
      <c r="D257" s="47" t="s">
        <v>62</v>
      </c>
      <c r="E257" s="49"/>
      <c r="F257" s="49"/>
      <c r="G257" s="49" t="s">
        <v>634</v>
      </c>
      <c r="H257" s="47" t="s">
        <v>635</v>
      </c>
      <c r="I257" s="43" t="str">
        <f t="shared" si="13"/>
        <v>外购件</v>
      </c>
      <c r="J257" s="44" t="str">
        <f t="shared" si="12"/>
        <v>外购件 插销</v>
      </c>
      <c r="K257" s="43">
        <f>COUNTIF($J$2:J257,J257)</f>
        <v>1</v>
      </c>
    </row>
    <row r="258" spans="1:11">
      <c r="A258" s="47">
        <v>256</v>
      </c>
      <c r="B258" s="47">
        <f>IF(K258=1,COUNTIF($D$2:D258,D258),"")</f>
        <v>100</v>
      </c>
      <c r="C258" s="47"/>
      <c r="D258" s="47" t="s">
        <v>62</v>
      </c>
      <c r="E258" s="49"/>
      <c r="F258" s="49"/>
      <c r="G258" s="49" t="s">
        <v>636</v>
      </c>
      <c r="H258" s="47" t="s">
        <v>637</v>
      </c>
      <c r="I258" s="43" t="str">
        <f t="shared" si="13"/>
        <v>外购件</v>
      </c>
      <c r="J258" s="44" t="str">
        <f t="shared" si="12"/>
        <v>外购件 铰链</v>
      </c>
      <c r="K258" s="43">
        <f>COUNTIF($J$2:J258,J258)</f>
        <v>1</v>
      </c>
    </row>
    <row r="259" spans="1:11">
      <c r="A259" s="47">
        <v>257</v>
      </c>
      <c r="B259" s="47">
        <f>IF(K259=1,COUNTIF($D$2:D259,D259),"")</f>
        <v>101</v>
      </c>
      <c r="C259" s="47"/>
      <c r="D259" s="47" t="s">
        <v>62</v>
      </c>
      <c r="E259" s="49"/>
      <c r="F259" s="49"/>
      <c r="G259" s="49" t="s">
        <v>638</v>
      </c>
      <c r="H259" s="47" t="s">
        <v>639</v>
      </c>
      <c r="I259" s="43" t="str">
        <f t="shared" si="13"/>
        <v>外购件</v>
      </c>
      <c r="J259" s="44" t="str">
        <f t="shared" si="12"/>
        <v>外购件 支脚</v>
      </c>
      <c r="K259" s="43">
        <f>COUNTIF($J$2:J259,J259)</f>
        <v>1</v>
      </c>
    </row>
    <row r="260" spans="1:11">
      <c r="A260" s="47">
        <v>258</v>
      </c>
      <c r="B260" s="47">
        <f>IF(K260=1,COUNTIF($D$2:D260,D260),"")</f>
        <v>102</v>
      </c>
      <c r="C260" s="47"/>
      <c r="D260" s="47" t="s">
        <v>62</v>
      </c>
      <c r="E260" s="49"/>
      <c r="F260" s="49"/>
      <c r="G260" s="49" t="s">
        <v>179</v>
      </c>
      <c r="H260" s="47" t="s">
        <v>640</v>
      </c>
      <c r="I260" s="43" t="str">
        <f t="shared" si="13"/>
        <v>外购件</v>
      </c>
      <c r="J260" s="44" t="str">
        <f t="shared" si="12"/>
        <v>外购件 其它</v>
      </c>
      <c r="K260" s="43">
        <f>COUNTIF($J$2:J260,J260)</f>
        <v>1</v>
      </c>
    </row>
    <row r="261" spans="1:11">
      <c r="A261" s="47">
        <v>259</v>
      </c>
      <c r="B261" s="47">
        <f>IF(K261=1,COUNTIF($D$2:D261,D261),"")</f>
        <v>103</v>
      </c>
      <c r="C261" s="47"/>
      <c r="D261" s="47" t="s">
        <v>62</v>
      </c>
      <c r="E261" s="49"/>
      <c r="F261" s="49"/>
      <c r="G261" s="49" t="s">
        <v>641</v>
      </c>
      <c r="H261" s="47" t="s">
        <v>642</v>
      </c>
      <c r="I261" s="43" t="str">
        <f t="shared" si="13"/>
        <v>外购件</v>
      </c>
      <c r="J261" s="44" t="str">
        <f t="shared" si="12"/>
        <v>外购件 金属丝编织网</v>
      </c>
      <c r="K261" s="43">
        <f>COUNTIF($J$2:J261,J261)</f>
        <v>1</v>
      </c>
    </row>
    <row r="262" spans="1:11">
      <c r="A262" s="47">
        <v>260</v>
      </c>
      <c r="B262" s="47">
        <f>IF(K262=1,COUNTIF($D$2:D262,D262),"")</f>
        <v>104</v>
      </c>
      <c r="C262" s="47"/>
      <c r="D262" s="47" t="s">
        <v>62</v>
      </c>
      <c r="E262" s="49"/>
      <c r="F262" s="49"/>
      <c r="G262" s="49" t="s">
        <v>643</v>
      </c>
      <c r="H262" s="47" t="s">
        <v>644</v>
      </c>
      <c r="I262" s="43" t="str">
        <f t="shared" si="13"/>
        <v>外购件</v>
      </c>
      <c r="J262" s="44" t="str">
        <f t="shared" si="12"/>
        <v>外购件 HP型标准丝网</v>
      </c>
      <c r="K262" s="43">
        <f>COUNTIF($J$2:J262,J262)</f>
        <v>1</v>
      </c>
    </row>
    <row r="263" spans="1:11">
      <c r="A263" s="47">
        <v>261</v>
      </c>
      <c r="B263" s="47">
        <f>IF(K263=1,COUNTIF($D$2:D263,D263),"")</f>
        <v>105</v>
      </c>
      <c r="C263" s="47"/>
      <c r="D263" s="47" t="s">
        <v>62</v>
      </c>
      <c r="E263" s="49"/>
      <c r="F263" s="49"/>
      <c r="G263" s="49" t="s">
        <v>645</v>
      </c>
      <c r="H263" s="47" t="s">
        <v>646</v>
      </c>
      <c r="I263" s="43" t="str">
        <f t="shared" si="13"/>
        <v>外购件</v>
      </c>
      <c r="J263" s="44" t="str">
        <f t="shared" si="12"/>
        <v>外购件 其它筛网</v>
      </c>
      <c r="K263" s="43">
        <f>COUNTIF($J$2:J263,J263)</f>
        <v>1</v>
      </c>
    </row>
    <row r="264" spans="1:11">
      <c r="A264" s="47">
        <v>262</v>
      </c>
      <c r="B264" s="47">
        <f>IF(K264=1,COUNTIF($D$2:D264,D264),"")</f>
        <v>106</v>
      </c>
      <c r="C264" s="47"/>
      <c r="D264" s="47" t="s">
        <v>62</v>
      </c>
      <c r="E264" s="49"/>
      <c r="F264" s="49" t="s">
        <v>647</v>
      </c>
      <c r="G264" s="49" t="s">
        <v>648</v>
      </c>
      <c r="H264" s="47" t="s">
        <v>649</v>
      </c>
      <c r="I264" s="43" t="str">
        <f t="shared" si="13"/>
        <v>外购件</v>
      </c>
      <c r="J264" s="44" t="str">
        <f t="shared" si="12"/>
        <v>外购件 液压辅助元件</v>
      </c>
      <c r="K264" s="43">
        <f>COUNTIF($J$2:J264,J264)</f>
        <v>1</v>
      </c>
    </row>
    <row r="265" spans="1:11">
      <c r="A265" s="47">
        <v>263</v>
      </c>
      <c r="B265" s="47">
        <f>IF(K265=1,COUNTIF($D$2:D265,D265),"")</f>
        <v>107</v>
      </c>
      <c r="C265" s="47"/>
      <c r="D265" s="47" t="s">
        <v>62</v>
      </c>
      <c r="E265" s="49"/>
      <c r="F265" s="49"/>
      <c r="G265" s="49" t="s">
        <v>650</v>
      </c>
      <c r="H265" s="47" t="s">
        <v>651</v>
      </c>
      <c r="I265" s="43" t="str">
        <f t="shared" si="13"/>
        <v>外购件</v>
      </c>
      <c r="J265" s="44" t="str">
        <f t="shared" si="12"/>
        <v>外购件 液压缸</v>
      </c>
      <c r="K265" s="43">
        <f>COUNTIF($J$2:J265,J265)</f>
        <v>1</v>
      </c>
    </row>
    <row r="266" spans="1:11">
      <c r="A266" s="47">
        <v>264</v>
      </c>
      <c r="B266" s="47">
        <f>IF(K266=1,COUNTIF($D$2:D266,D266),"")</f>
        <v>108</v>
      </c>
      <c r="C266" s="47"/>
      <c r="D266" s="47" t="s">
        <v>62</v>
      </c>
      <c r="E266" s="49"/>
      <c r="F266" s="49"/>
      <c r="G266" s="49" t="s">
        <v>652</v>
      </c>
      <c r="H266" s="47" t="s">
        <v>653</v>
      </c>
      <c r="I266" s="43" t="str">
        <f t="shared" si="13"/>
        <v>外购件</v>
      </c>
      <c r="J266" s="44" t="str">
        <f t="shared" si="12"/>
        <v>外购件 液压泵、马达</v>
      </c>
      <c r="K266" s="43">
        <f>COUNTIF($J$2:J266,J266)</f>
        <v>1</v>
      </c>
    </row>
    <row r="267" spans="1:11">
      <c r="A267" s="47">
        <v>265</v>
      </c>
      <c r="B267" s="47">
        <f>IF(K267=1,COUNTIF($D$2:D267,D267),"")</f>
        <v>109</v>
      </c>
      <c r="C267" s="47"/>
      <c r="D267" s="47" t="s">
        <v>62</v>
      </c>
      <c r="E267" s="49"/>
      <c r="F267" s="49"/>
      <c r="G267" s="49" t="s">
        <v>654</v>
      </c>
      <c r="H267" s="47" t="s">
        <v>655</v>
      </c>
      <c r="I267" s="43" t="str">
        <f t="shared" si="13"/>
        <v>外购件</v>
      </c>
      <c r="J267" s="44" t="str">
        <f t="shared" si="12"/>
        <v>外购件 液压控制阀</v>
      </c>
      <c r="K267" s="43">
        <f>COUNTIF($J$2:J267,J267)</f>
        <v>1</v>
      </c>
    </row>
    <row r="268" spans="1:11">
      <c r="A268" s="47">
        <v>266</v>
      </c>
      <c r="B268" s="47">
        <f>IF(K268=1,COUNTIF($D$2:D268,D268),"")</f>
        <v>110</v>
      </c>
      <c r="C268" s="47"/>
      <c r="D268" s="47" t="s">
        <v>62</v>
      </c>
      <c r="E268" s="49"/>
      <c r="F268" s="49"/>
      <c r="G268" s="49" t="s">
        <v>656</v>
      </c>
      <c r="H268" s="47" t="s">
        <v>657</v>
      </c>
      <c r="I268" s="43" t="str">
        <f t="shared" si="13"/>
        <v>外购件</v>
      </c>
      <c r="J268" s="44" t="str">
        <f t="shared" si="12"/>
        <v>外购件 液压泵站</v>
      </c>
      <c r="K268" s="43">
        <f>COUNTIF($J$2:J268,J268)</f>
        <v>1</v>
      </c>
    </row>
    <row r="269" spans="1:11">
      <c r="A269" s="47">
        <v>267</v>
      </c>
      <c r="B269" s="47">
        <f>IF(K269=1,COUNTIF($D$2:D269,D269),"")</f>
        <v>111</v>
      </c>
      <c r="C269" s="47"/>
      <c r="D269" s="47" t="s">
        <v>62</v>
      </c>
      <c r="E269" s="49"/>
      <c r="F269" s="49"/>
      <c r="G269" s="49" t="s">
        <v>658</v>
      </c>
      <c r="H269" s="47" t="s">
        <v>659</v>
      </c>
      <c r="I269" s="43" t="str">
        <f t="shared" ref="I269:I306" si="14">IF(COUNTA(C269)=1,C269,I268)</f>
        <v>外购件</v>
      </c>
      <c r="J269" s="44" t="str">
        <f t="shared" ref="J269:J306" si="15">CONCATENATE(I269," ",G269)</f>
        <v>外购件 液压系统</v>
      </c>
      <c r="K269" s="43">
        <f>COUNTIF($J$2:J269,J269)</f>
        <v>1</v>
      </c>
    </row>
    <row r="270" spans="1:11">
      <c r="A270" s="47">
        <v>268</v>
      </c>
      <c r="B270" s="47">
        <f>IF(K270=1,COUNTIF($D$2:D270,D270),"")</f>
        <v>112</v>
      </c>
      <c r="C270" s="47"/>
      <c r="D270" s="47" t="s">
        <v>62</v>
      </c>
      <c r="E270" s="49"/>
      <c r="F270" s="49"/>
      <c r="G270" s="49" t="s">
        <v>660</v>
      </c>
      <c r="H270" s="47" t="s">
        <v>661</v>
      </c>
      <c r="I270" s="43" t="str">
        <f t="shared" si="14"/>
        <v>外购件</v>
      </c>
      <c r="J270" s="44" t="str">
        <f t="shared" si="15"/>
        <v>外购件 电磁阀（气动液压配件）</v>
      </c>
      <c r="K270" s="43">
        <f>COUNTIF($J$2:J270,J270)</f>
        <v>1</v>
      </c>
    </row>
    <row r="271" spans="1:11">
      <c r="A271" s="47">
        <v>269</v>
      </c>
      <c r="B271" s="47">
        <f>IF(K271=1,COUNTIF($D$2:D271,D271),"")</f>
        <v>113</v>
      </c>
      <c r="C271" s="47"/>
      <c r="D271" s="47" t="s">
        <v>62</v>
      </c>
      <c r="E271" s="49"/>
      <c r="F271" s="49" t="s">
        <v>662</v>
      </c>
      <c r="G271" s="49" t="s">
        <v>663</v>
      </c>
      <c r="H271" s="47" t="s">
        <v>664</v>
      </c>
      <c r="I271" s="43" t="str">
        <f t="shared" si="14"/>
        <v>外购件</v>
      </c>
      <c r="J271" s="44" t="str">
        <f t="shared" si="15"/>
        <v>外购件 气动执行元件</v>
      </c>
      <c r="K271" s="43">
        <f>COUNTIF($J$2:J271,J271)</f>
        <v>1</v>
      </c>
    </row>
    <row r="272" spans="1:11">
      <c r="A272" s="47">
        <v>270</v>
      </c>
      <c r="B272" s="47">
        <f>IF(K272=1,COUNTIF($D$2:D272,D272),"")</f>
        <v>114</v>
      </c>
      <c r="C272" s="47"/>
      <c r="D272" s="47" t="s">
        <v>62</v>
      </c>
      <c r="E272" s="49"/>
      <c r="F272" s="49"/>
      <c r="G272" s="49" t="s">
        <v>665</v>
      </c>
      <c r="H272" s="47" t="s">
        <v>666</v>
      </c>
      <c r="I272" s="43" t="str">
        <f t="shared" si="14"/>
        <v>外购件</v>
      </c>
      <c r="J272" s="44" t="str">
        <f t="shared" si="15"/>
        <v>外购件 气动辅助元件</v>
      </c>
      <c r="K272" s="43">
        <f>COUNTIF($J$2:J272,J272)</f>
        <v>1</v>
      </c>
    </row>
    <row r="273" spans="1:11">
      <c r="A273" s="47">
        <v>271</v>
      </c>
      <c r="B273" s="47">
        <f>IF(K273=1,COUNTIF($D$2:D273,D273),"")</f>
        <v>115</v>
      </c>
      <c r="C273" s="47"/>
      <c r="D273" s="47" t="s">
        <v>62</v>
      </c>
      <c r="E273" s="49"/>
      <c r="F273" s="49"/>
      <c r="G273" s="49" t="s">
        <v>667</v>
      </c>
      <c r="H273" s="47" t="s">
        <v>668</v>
      </c>
      <c r="I273" s="43" t="str">
        <f t="shared" si="14"/>
        <v>外购件</v>
      </c>
      <c r="J273" s="44" t="str">
        <f t="shared" si="15"/>
        <v>外购件 空气净化</v>
      </c>
      <c r="K273" s="43">
        <f>COUNTIF($J$2:J273,J273)</f>
        <v>1</v>
      </c>
    </row>
    <row r="274" spans="1:11">
      <c r="A274" s="47">
        <v>272</v>
      </c>
      <c r="B274" s="47">
        <f>IF(K274=1,COUNTIF($D$2:D274,D274),"")</f>
        <v>116</v>
      </c>
      <c r="C274" s="47"/>
      <c r="D274" s="47" t="s">
        <v>62</v>
      </c>
      <c r="E274" s="49"/>
      <c r="F274" s="49"/>
      <c r="G274" s="49" t="s">
        <v>669</v>
      </c>
      <c r="H274" s="47" t="s">
        <v>670</v>
      </c>
      <c r="I274" s="43" t="str">
        <f t="shared" si="14"/>
        <v>外购件</v>
      </c>
      <c r="J274" s="44" t="str">
        <f t="shared" si="15"/>
        <v>外购件 气动阀</v>
      </c>
      <c r="K274" s="43">
        <f>COUNTIF($J$2:J274,J274)</f>
        <v>1</v>
      </c>
    </row>
    <row r="275" spans="1:11">
      <c r="A275" s="47">
        <v>273</v>
      </c>
      <c r="B275" s="47">
        <f>IF(K275=1,COUNTIF($D$2:D275,D275),"")</f>
        <v>117</v>
      </c>
      <c r="C275" s="47"/>
      <c r="D275" s="47" t="s">
        <v>62</v>
      </c>
      <c r="E275" s="49"/>
      <c r="F275" s="49"/>
      <c r="G275" s="49" t="s">
        <v>671</v>
      </c>
      <c r="H275" s="47" t="s">
        <v>672</v>
      </c>
      <c r="I275" s="43" t="str">
        <f t="shared" si="14"/>
        <v>外购件</v>
      </c>
      <c r="J275" s="44" t="str">
        <f t="shared" si="15"/>
        <v>外购件 真空元件</v>
      </c>
      <c r="K275" s="43">
        <f>COUNTIF($J$2:J275,J275)</f>
        <v>1</v>
      </c>
    </row>
    <row r="276" spans="1:11">
      <c r="A276" s="47">
        <v>274</v>
      </c>
      <c r="B276" s="47">
        <f>IF(K276=1,COUNTIF($D$2:D276,D276),"")</f>
        <v>118</v>
      </c>
      <c r="C276" s="47"/>
      <c r="D276" s="47" t="s">
        <v>62</v>
      </c>
      <c r="E276" s="49"/>
      <c r="F276" s="49"/>
      <c r="G276" s="49" t="s">
        <v>673</v>
      </c>
      <c r="H276" s="47" t="s">
        <v>674</v>
      </c>
      <c r="I276" s="43" t="str">
        <f t="shared" si="14"/>
        <v>外购件</v>
      </c>
      <c r="J276" s="44" t="str">
        <f t="shared" si="15"/>
        <v>外购件 气缸</v>
      </c>
      <c r="K276" s="43">
        <f>COUNTIF($J$2:J276,J276)</f>
        <v>1</v>
      </c>
    </row>
    <row r="277" spans="1:11">
      <c r="A277" s="47">
        <v>275</v>
      </c>
      <c r="B277" s="47">
        <f>IF(K277=1,COUNTIF($D$2:D277,D277),"")</f>
        <v>119</v>
      </c>
      <c r="C277" s="47"/>
      <c r="D277" s="47" t="s">
        <v>62</v>
      </c>
      <c r="E277" s="49"/>
      <c r="F277" s="49" t="s">
        <v>675</v>
      </c>
      <c r="G277" s="49" t="s">
        <v>676</v>
      </c>
      <c r="H277" s="47" t="s">
        <v>677</v>
      </c>
      <c r="I277" s="43" t="str">
        <f t="shared" si="14"/>
        <v>外购件</v>
      </c>
      <c r="J277" s="44" t="str">
        <f t="shared" si="15"/>
        <v>外购件 球阀</v>
      </c>
      <c r="K277" s="43">
        <f>COUNTIF($J$2:J277,J277)</f>
        <v>1</v>
      </c>
    </row>
    <row r="278" spans="1:11">
      <c r="A278" s="47">
        <v>276</v>
      </c>
      <c r="B278" s="47">
        <f>IF(K278=1,COUNTIF($D$2:D278,D278),"")</f>
        <v>120</v>
      </c>
      <c r="C278" s="47"/>
      <c r="D278" s="47" t="s">
        <v>62</v>
      </c>
      <c r="E278" s="49"/>
      <c r="F278" s="49"/>
      <c r="G278" s="49" t="s">
        <v>678</v>
      </c>
      <c r="H278" s="47" t="s">
        <v>679</v>
      </c>
      <c r="I278" s="43" t="str">
        <f t="shared" si="14"/>
        <v>外购件</v>
      </c>
      <c r="J278" s="44" t="str">
        <f t="shared" si="15"/>
        <v>外购件 截止阀</v>
      </c>
      <c r="K278" s="43">
        <f>COUNTIF($J$2:J278,J278)</f>
        <v>1</v>
      </c>
    </row>
    <row r="279" spans="1:11">
      <c r="A279" s="47">
        <v>277</v>
      </c>
      <c r="B279" s="47">
        <f>IF(K279=1,COUNTIF($D$2:D279,D279),"")</f>
        <v>121</v>
      </c>
      <c r="C279" s="47"/>
      <c r="D279" s="47" t="s">
        <v>62</v>
      </c>
      <c r="E279" s="49"/>
      <c r="F279" s="49"/>
      <c r="G279" s="49" t="s">
        <v>680</v>
      </c>
      <c r="H279" s="47" t="s">
        <v>681</v>
      </c>
      <c r="I279" s="43" t="str">
        <f t="shared" si="14"/>
        <v>外购件</v>
      </c>
      <c r="J279" s="44" t="str">
        <f t="shared" si="15"/>
        <v>外购件 柱塞阀</v>
      </c>
      <c r="K279" s="43">
        <f>COUNTIF($J$2:J279,J279)</f>
        <v>1</v>
      </c>
    </row>
    <row r="280" spans="1:11">
      <c r="A280" s="47">
        <v>278</v>
      </c>
      <c r="B280" s="47">
        <f>IF(K280=1,COUNTIF($D$2:D280,D280),"")</f>
        <v>122</v>
      </c>
      <c r="C280" s="47"/>
      <c r="D280" s="47" t="s">
        <v>62</v>
      </c>
      <c r="E280" s="49"/>
      <c r="F280" s="49"/>
      <c r="G280" s="49" t="s">
        <v>682</v>
      </c>
      <c r="H280" s="47" t="s">
        <v>683</v>
      </c>
      <c r="I280" s="43" t="str">
        <f t="shared" si="14"/>
        <v>外购件</v>
      </c>
      <c r="J280" s="44" t="str">
        <f t="shared" si="15"/>
        <v>外购件 蝶阀</v>
      </c>
      <c r="K280" s="43">
        <f>COUNTIF($J$2:J280,J280)</f>
        <v>1</v>
      </c>
    </row>
    <row r="281" spans="1:11">
      <c r="A281" s="47">
        <v>279</v>
      </c>
      <c r="B281" s="47">
        <f>IF(K281=1,COUNTIF($D$2:D281,D281),"")</f>
        <v>123</v>
      </c>
      <c r="C281" s="47"/>
      <c r="D281" s="47" t="s">
        <v>62</v>
      </c>
      <c r="E281" s="49"/>
      <c r="F281" s="49"/>
      <c r="G281" s="49" t="s">
        <v>684</v>
      </c>
      <c r="H281" s="47" t="s">
        <v>685</v>
      </c>
      <c r="I281" s="43" t="str">
        <f t="shared" si="14"/>
        <v>外购件</v>
      </c>
      <c r="J281" s="44" t="str">
        <f t="shared" si="15"/>
        <v>外购件 止回阀</v>
      </c>
      <c r="K281" s="43">
        <f>COUNTIF($J$2:J281,J281)</f>
        <v>1</v>
      </c>
    </row>
    <row r="282" spans="1:11">
      <c r="A282" s="47">
        <v>280</v>
      </c>
      <c r="B282" s="47">
        <f>IF(K282=1,COUNTIF($D$2:D282,D282),"")</f>
        <v>124</v>
      </c>
      <c r="C282" s="47"/>
      <c r="D282" s="47" t="s">
        <v>62</v>
      </c>
      <c r="E282" s="49"/>
      <c r="F282" s="49"/>
      <c r="G282" s="49" t="s">
        <v>686</v>
      </c>
      <c r="H282" s="47" t="s">
        <v>687</v>
      </c>
      <c r="I282" s="43" t="str">
        <f t="shared" si="14"/>
        <v>外购件</v>
      </c>
      <c r="J282" s="44" t="str">
        <f t="shared" si="15"/>
        <v>外购件 安全阀</v>
      </c>
      <c r="K282" s="43">
        <f>COUNTIF($J$2:J282,J282)</f>
        <v>1</v>
      </c>
    </row>
    <row r="283" spans="1:11">
      <c r="A283" s="47">
        <v>281</v>
      </c>
      <c r="B283" s="47">
        <f>IF(K283=1,COUNTIF($D$2:D283,D283),"")</f>
        <v>125</v>
      </c>
      <c r="C283" s="47"/>
      <c r="D283" s="47" t="s">
        <v>62</v>
      </c>
      <c r="E283" s="49"/>
      <c r="F283" s="49"/>
      <c r="G283" s="49" t="s">
        <v>688</v>
      </c>
      <c r="H283" s="47" t="s">
        <v>689</v>
      </c>
      <c r="I283" s="43" t="str">
        <f t="shared" si="14"/>
        <v>外购件</v>
      </c>
      <c r="J283" s="44" t="str">
        <f t="shared" si="15"/>
        <v>外购件 减压阀</v>
      </c>
      <c r="K283" s="43">
        <f>COUNTIF($J$2:J283,J283)</f>
        <v>1</v>
      </c>
    </row>
    <row r="284" spans="1:11">
      <c r="A284" s="47">
        <v>282</v>
      </c>
      <c r="B284" s="47">
        <f>IF(K284=1,COUNTIF($D$2:D284,D284),"")</f>
        <v>126</v>
      </c>
      <c r="C284" s="47"/>
      <c r="D284" s="47" t="s">
        <v>62</v>
      </c>
      <c r="E284" s="49"/>
      <c r="F284" s="49"/>
      <c r="G284" s="49" t="s">
        <v>690</v>
      </c>
      <c r="H284" s="47" t="s">
        <v>691</v>
      </c>
      <c r="I284" s="43" t="str">
        <f t="shared" si="14"/>
        <v>外购件</v>
      </c>
      <c r="J284" s="44" t="str">
        <f t="shared" si="15"/>
        <v>外购件 针阀</v>
      </c>
      <c r="K284" s="43">
        <f>COUNTIF($J$2:J284,J284)</f>
        <v>1</v>
      </c>
    </row>
    <row r="285" spans="1:11">
      <c r="A285" s="47">
        <v>283</v>
      </c>
      <c r="B285" s="47">
        <f>IF(K285=1,COUNTIF($D$2:D285,D285),"")</f>
        <v>127</v>
      </c>
      <c r="C285" s="47"/>
      <c r="D285" s="47" t="s">
        <v>62</v>
      </c>
      <c r="E285" s="49"/>
      <c r="F285" s="49"/>
      <c r="G285" s="49" t="s">
        <v>692</v>
      </c>
      <c r="H285" s="47" t="s">
        <v>693</v>
      </c>
      <c r="I285" s="43" t="str">
        <f t="shared" si="14"/>
        <v>外购件</v>
      </c>
      <c r="J285" s="44" t="str">
        <f t="shared" si="15"/>
        <v>外购件 闸阀</v>
      </c>
      <c r="K285" s="43">
        <f>COUNTIF($J$2:J285,J285)</f>
        <v>1</v>
      </c>
    </row>
    <row r="286" spans="1:11">
      <c r="A286" s="47">
        <v>284</v>
      </c>
      <c r="B286" s="47">
        <f>IF(K286=1,COUNTIF($D$2:D286,D286),"")</f>
        <v>128</v>
      </c>
      <c r="C286" s="47"/>
      <c r="D286" s="47" t="s">
        <v>62</v>
      </c>
      <c r="E286" s="49"/>
      <c r="F286" s="49"/>
      <c r="G286" s="49" t="s">
        <v>694</v>
      </c>
      <c r="H286" s="47" t="s">
        <v>695</v>
      </c>
      <c r="I286" s="43" t="str">
        <f t="shared" si="14"/>
        <v>外购件</v>
      </c>
      <c r="J286" s="44" t="str">
        <f t="shared" si="15"/>
        <v>外购件 疏水阀</v>
      </c>
      <c r="K286" s="43">
        <f>COUNTIF($J$2:J286,J286)</f>
        <v>1</v>
      </c>
    </row>
    <row r="287" spans="1:11">
      <c r="A287" s="47">
        <v>285</v>
      </c>
      <c r="B287" s="47">
        <f>IF(K287=1,COUNTIF($D$2:D287,D287),"")</f>
        <v>129</v>
      </c>
      <c r="C287" s="47"/>
      <c r="D287" s="47" t="s">
        <v>62</v>
      </c>
      <c r="E287" s="49"/>
      <c r="F287" s="49"/>
      <c r="G287" s="49" t="s">
        <v>696</v>
      </c>
      <c r="H287" s="47" t="s">
        <v>697</v>
      </c>
      <c r="I287" s="43" t="str">
        <f t="shared" si="14"/>
        <v>外购件</v>
      </c>
      <c r="J287" s="44" t="str">
        <f t="shared" si="15"/>
        <v>外购件 排气阀</v>
      </c>
      <c r="K287" s="43">
        <f>COUNTIF($J$2:J287,J287)</f>
        <v>1</v>
      </c>
    </row>
    <row r="288" spans="1:11">
      <c r="A288" s="47">
        <v>286</v>
      </c>
      <c r="B288" s="47">
        <f>IF(K288=1,COUNTIF($D$2:D288,D288),"")</f>
        <v>130</v>
      </c>
      <c r="C288" s="47"/>
      <c r="D288" s="47" t="s">
        <v>62</v>
      </c>
      <c r="E288" s="49"/>
      <c r="F288" s="49"/>
      <c r="G288" s="49" t="s">
        <v>698</v>
      </c>
      <c r="H288" s="47" t="s">
        <v>699</v>
      </c>
      <c r="I288" s="43" t="str">
        <f t="shared" si="14"/>
        <v>外购件</v>
      </c>
      <c r="J288" s="44" t="str">
        <f t="shared" si="15"/>
        <v>外购件 调节阀</v>
      </c>
      <c r="K288" s="43">
        <f>COUNTIF($J$2:J288,J288)</f>
        <v>1</v>
      </c>
    </row>
    <row r="289" spans="1:11">
      <c r="A289" s="47">
        <v>287</v>
      </c>
      <c r="B289" s="47">
        <f>IF(K289=1,COUNTIF($D$2:D289,D289),"")</f>
        <v>131</v>
      </c>
      <c r="C289" s="47"/>
      <c r="D289" s="47" t="s">
        <v>62</v>
      </c>
      <c r="E289" s="49"/>
      <c r="F289" s="49"/>
      <c r="G289" s="49" t="s">
        <v>700</v>
      </c>
      <c r="H289" s="47" t="s">
        <v>701</v>
      </c>
      <c r="I289" s="43" t="str">
        <f t="shared" si="14"/>
        <v>外购件</v>
      </c>
      <c r="J289" s="44" t="str">
        <f t="shared" si="15"/>
        <v>外购件 气动薄膜调节阀</v>
      </c>
      <c r="K289" s="43">
        <f>COUNTIF($J$2:J289,J289)</f>
        <v>1</v>
      </c>
    </row>
    <row r="290" spans="1:11">
      <c r="A290" s="47">
        <v>288</v>
      </c>
      <c r="B290" s="47">
        <f>IF(K290=1,COUNTIF($D$2:D290,D290),"")</f>
        <v>132</v>
      </c>
      <c r="C290" s="47"/>
      <c r="D290" s="47" t="s">
        <v>62</v>
      </c>
      <c r="E290" s="49"/>
      <c r="F290" s="49"/>
      <c r="G290" s="49" t="s">
        <v>702</v>
      </c>
      <c r="H290" s="47" t="s">
        <v>703</v>
      </c>
      <c r="I290" s="43" t="str">
        <f t="shared" si="14"/>
        <v>外购件</v>
      </c>
      <c r="J290" s="44" t="str">
        <f t="shared" si="15"/>
        <v>外购件 V型调节球阀</v>
      </c>
      <c r="K290" s="43">
        <f>COUNTIF($J$2:J290,J290)</f>
        <v>1</v>
      </c>
    </row>
    <row r="291" spans="1:11">
      <c r="A291" s="47">
        <v>289</v>
      </c>
      <c r="B291" s="47">
        <f>IF(K291=1,COUNTIF($D$2:D291,D291),"")</f>
        <v>133</v>
      </c>
      <c r="C291" s="47"/>
      <c r="D291" s="47" t="s">
        <v>62</v>
      </c>
      <c r="E291" s="49"/>
      <c r="F291" s="49"/>
      <c r="G291" s="49" t="s">
        <v>704</v>
      </c>
      <c r="H291" s="47" t="s">
        <v>705</v>
      </c>
      <c r="I291" s="43" t="str">
        <f t="shared" si="14"/>
        <v>外购件</v>
      </c>
      <c r="J291" s="44" t="str">
        <f t="shared" si="15"/>
        <v>外购件 呼吸阀</v>
      </c>
      <c r="K291" s="43">
        <f>COUNTIF($J$2:J291,J291)</f>
        <v>1</v>
      </c>
    </row>
    <row r="292" spans="1:11">
      <c r="A292" s="47">
        <v>290</v>
      </c>
      <c r="B292" s="47">
        <f>IF(K292=1,COUNTIF($D$2:D292,D292),"")</f>
        <v>134</v>
      </c>
      <c r="C292" s="47"/>
      <c r="D292" s="47" t="s">
        <v>62</v>
      </c>
      <c r="E292" s="49"/>
      <c r="F292" s="49"/>
      <c r="G292" s="49" t="s">
        <v>706</v>
      </c>
      <c r="H292" s="47" t="s">
        <v>707</v>
      </c>
      <c r="I292" s="43" t="str">
        <f t="shared" si="14"/>
        <v>外购件</v>
      </c>
      <c r="J292" s="44" t="str">
        <f t="shared" si="15"/>
        <v>外购件 底阀</v>
      </c>
      <c r="K292" s="43">
        <f>COUNTIF($J$2:J292,J292)</f>
        <v>1</v>
      </c>
    </row>
    <row r="293" spans="1:11">
      <c r="A293" s="47">
        <v>291</v>
      </c>
      <c r="B293" s="47">
        <f>IF(K293=1,COUNTIF($D$2:D293,D293),"")</f>
        <v>135</v>
      </c>
      <c r="C293" s="47"/>
      <c r="D293" s="47" t="s">
        <v>62</v>
      </c>
      <c r="E293" s="49"/>
      <c r="F293" s="49"/>
      <c r="G293" s="49" t="s">
        <v>708</v>
      </c>
      <c r="H293" s="47" t="s">
        <v>709</v>
      </c>
      <c r="I293" s="43" t="str">
        <f t="shared" si="14"/>
        <v>外购件</v>
      </c>
      <c r="J293" s="44" t="str">
        <f t="shared" si="15"/>
        <v>外购件 其它阀门</v>
      </c>
      <c r="K293" s="43">
        <f>COUNTIF($J$2:J293,J293)</f>
        <v>1</v>
      </c>
    </row>
    <row r="294" spans="1:11">
      <c r="A294" s="47">
        <v>292</v>
      </c>
      <c r="B294" s="47">
        <f>IF(K294=1,COUNTIF($D$2:D294,D294),"")</f>
        <v>136</v>
      </c>
      <c r="C294" s="47"/>
      <c r="D294" s="47" t="s">
        <v>62</v>
      </c>
      <c r="E294" s="49"/>
      <c r="F294" s="49"/>
      <c r="G294" s="49" t="s">
        <v>710</v>
      </c>
      <c r="H294" s="47" t="s">
        <v>711</v>
      </c>
      <c r="I294" s="43" t="str">
        <f t="shared" si="14"/>
        <v>外购件</v>
      </c>
      <c r="J294" s="44" t="str">
        <f t="shared" si="15"/>
        <v>外购件 管道阻火器</v>
      </c>
      <c r="K294" s="43">
        <f>COUNTIF($J$2:J294,J294)</f>
        <v>1</v>
      </c>
    </row>
    <row r="295" spans="1:11">
      <c r="A295" s="47">
        <v>293</v>
      </c>
      <c r="B295" s="47">
        <f>IF(K295=1,COUNTIF($D$2:D295,D295),"")</f>
        <v>137</v>
      </c>
      <c r="C295" s="47"/>
      <c r="D295" s="47" t="s">
        <v>62</v>
      </c>
      <c r="E295" s="49"/>
      <c r="F295" s="49"/>
      <c r="G295" s="49" t="s">
        <v>712</v>
      </c>
      <c r="H295" s="47" t="s">
        <v>713</v>
      </c>
      <c r="I295" s="43" t="str">
        <f t="shared" si="14"/>
        <v>外购件</v>
      </c>
      <c r="J295" s="44" t="str">
        <f t="shared" si="15"/>
        <v>外购件 管道过滤器</v>
      </c>
      <c r="K295" s="43">
        <f>COUNTIF($J$2:J295,J295)</f>
        <v>1</v>
      </c>
    </row>
    <row r="296" spans="1:11">
      <c r="A296" s="47">
        <v>294</v>
      </c>
      <c r="B296" s="47">
        <f>IF(K296=1,COUNTIF($D$2:D296,D296),"")</f>
        <v>138</v>
      </c>
      <c r="C296" s="47"/>
      <c r="D296" s="47" t="s">
        <v>62</v>
      </c>
      <c r="E296" s="49"/>
      <c r="F296" s="49"/>
      <c r="G296" s="49" t="s">
        <v>714</v>
      </c>
      <c r="H296" s="47" t="s">
        <v>715</v>
      </c>
      <c r="I296" s="43" t="str">
        <f t="shared" si="14"/>
        <v>外购件</v>
      </c>
      <c r="J296" s="44" t="str">
        <f t="shared" si="15"/>
        <v>外购件 阀门配件</v>
      </c>
      <c r="K296" s="43">
        <f>COUNTIF($J$2:J296,J296)</f>
        <v>1</v>
      </c>
    </row>
    <row r="297" spans="1:11">
      <c r="A297" s="47">
        <v>295</v>
      </c>
      <c r="B297" s="47">
        <f>IF(K297=1,COUNTIF($D$2:D297,D297),"")</f>
        <v>139</v>
      </c>
      <c r="C297" s="47"/>
      <c r="D297" s="47" t="s">
        <v>62</v>
      </c>
      <c r="E297" s="49"/>
      <c r="F297" s="49" t="s">
        <v>716</v>
      </c>
      <c r="G297" s="49" t="s">
        <v>717</v>
      </c>
      <c r="H297" s="47" t="s">
        <v>718</v>
      </c>
      <c r="I297" s="43" t="str">
        <f t="shared" si="14"/>
        <v>外购件</v>
      </c>
      <c r="J297" s="44" t="str">
        <f t="shared" si="15"/>
        <v>外购件 鲍尔环</v>
      </c>
      <c r="K297" s="43">
        <f>COUNTIF($J$2:J297,J297)</f>
        <v>1</v>
      </c>
    </row>
    <row r="298" spans="1:11">
      <c r="A298" s="47">
        <v>296</v>
      </c>
      <c r="B298" s="47">
        <f>IF(K298=1,COUNTIF($D$2:D298,D298),"")</f>
        <v>140</v>
      </c>
      <c r="C298" s="47"/>
      <c r="D298" s="47" t="s">
        <v>62</v>
      </c>
      <c r="E298" s="49"/>
      <c r="F298" s="49"/>
      <c r="G298" s="49" t="s">
        <v>719</v>
      </c>
      <c r="H298" s="47" t="s">
        <v>720</v>
      </c>
      <c r="I298" s="43" t="str">
        <f t="shared" si="14"/>
        <v>外购件</v>
      </c>
      <c r="J298" s="44" t="str">
        <f t="shared" si="15"/>
        <v>外购件 其它填料</v>
      </c>
      <c r="K298" s="43">
        <f>COUNTIF($J$2:J298,J298)</f>
        <v>1</v>
      </c>
    </row>
    <row r="299" spans="1:11">
      <c r="A299" s="47">
        <v>297</v>
      </c>
      <c r="B299" s="47">
        <f>IF(K299=1,COUNTIF($D$2:D299,D299),"")</f>
        <v>141</v>
      </c>
      <c r="C299" s="47"/>
      <c r="D299" s="47" t="s">
        <v>62</v>
      </c>
      <c r="E299" s="49"/>
      <c r="F299" s="49" t="s">
        <v>721</v>
      </c>
      <c r="G299" s="49" t="s">
        <v>722</v>
      </c>
      <c r="H299" s="47" t="s">
        <v>723</v>
      </c>
      <c r="I299" s="43" t="str">
        <f t="shared" si="14"/>
        <v>外购件</v>
      </c>
      <c r="J299" s="44" t="str">
        <f t="shared" si="15"/>
        <v>外购件 波纹管</v>
      </c>
      <c r="K299" s="43">
        <f>COUNTIF($J$2:J299,J299)</f>
        <v>1</v>
      </c>
    </row>
    <row r="300" spans="1:11">
      <c r="A300" s="47">
        <v>298</v>
      </c>
      <c r="B300" s="47">
        <f>IF(K300=1,COUNTIF($D$2:D300,D300),"")</f>
        <v>142</v>
      </c>
      <c r="C300" s="47"/>
      <c r="D300" s="47" t="s">
        <v>62</v>
      </c>
      <c r="E300" s="49"/>
      <c r="F300" s="49"/>
      <c r="G300" s="49" t="s">
        <v>724</v>
      </c>
      <c r="H300" s="47" t="s">
        <v>725</v>
      </c>
      <c r="I300" s="43" t="str">
        <f t="shared" si="14"/>
        <v>外购件</v>
      </c>
      <c r="J300" s="44" t="str">
        <f t="shared" si="15"/>
        <v>外购件 防爆软管</v>
      </c>
      <c r="K300" s="43">
        <f>COUNTIF($J$2:J300,J300)</f>
        <v>1</v>
      </c>
    </row>
    <row r="301" spans="1:11">
      <c r="A301" s="47">
        <v>299</v>
      </c>
      <c r="B301" s="47">
        <f>IF(K301=1,COUNTIF($D$2:D301,D301),"")</f>
        <v>143</v>
      </c>
      <c r="C301" s="47"/>
      <c r="D301" s="47" t="s">
        <v>62</v>
      </c>
      <c r="E301" s="49"/>
      <c r="F301" s="49"/>
      <c r="G301" s="49" t="s">
        <v>726</v>
      </c>
      <c r="H301" s="47" t="s">
        <v>727</v>
      </c>
      <c r="I301" s="43" t="str">
        <f t="shared" si="14"/>
        <v>外购件</v>
      </c>
      <c r="J301" s="44" t="str">
        <f t="shared" si="15"/>
        <v>外购件 金属软管</v>
      </c>
      <c r="K301" s="43">
        <f>COUNTIF($J$2:J301,J301)</f>
        <v>1</v>
      </c>
    </row>
    <row r="302" spans="1:11">
      <c r="A302" s="47">
        <v>300</v>
      </c>
      <c r="B302" s="47">
        <f>IF(K302=1,COUNTIF($D$2:D302,D302),"")</f>
        <v>144</v>
      </c>
      <c r="C302" s="47"/>
      <c r="D302" s="47" t="s">
        <v>62</v>
      </c>
      <c r="E302" s="49"/>
      <c r="F302" s="49"/>
      <c r="G302" s="49" t="s">
        <v>728</v>
      </c>
      <c r="H302" s="47" t="s">
        <v>729</v>
      </c>
      <c r="I302" s="43" t="str">
        <f t="shared" si="14"/>
        <v>外购件</v>
      </c>
      <c r="J302" s="44" t="str">
        <f t="shared" si="15"/>
        <v>外购件 金属软连接</v>
      </c>
      <c r="K302" s="43">
        <f>COUNTIF($J$2:J302,J302)</f>
        <v>1</v>
      </c>
    </row>
    <row r="303" spans="1:11">
      <c r="A303" s="47">
        <v>301</v>
      </c>
      <c r="B303" s="47">
        <f>IF(K303=1,COUNTIF($D$2:D303,D303),"")</f>
        <v>145</v>
      </c>
      <c r="C303" s="47"/>
      <c r="D303" s="47" t="s">
        <v>62</v>
      </c>
      <c r="E303" s="49"/>
      <c r="F303" s="49"/>
      <c r="G303" s="49" t="s">
        <v>730</v>
      </c>
      <c r="H303" s="47" t="s">
        <v>731</v>
      </c>
      <c r="I303" s="43" t="str">
        <f t="shared" si="14"/>
        <v>外购件</v>
      </c>
      <c r="J303" s="44" t="str">
        <f t="shared" si="15"/>
        <v>外购件 膨胀节</v>
      </c>
      <c r="K303" s="43">
        <f>COUNTIF($J$2:J303,J303)</f>
        <v>1</v>
      </c>
    </row>
    <row r="304" spans="1:11">
      <c r="A304" s="47">
        <v>302</v>
      </c>
      <c r="B304" s="47">
        <f>IF(K304=1,COUNTIF($D$2:D304,D304),"")</f>
        <v>146</v>
      </c>
      <c r="C304" s="47"/>
      <c r="D304" s="47" t="s">
        <v>62</v>
      </c>
      <c r="E304" s="49"/>
      <c r="F304" s="49"/>
      <c r="G304" s="49" t="s">
        <v>732</v>
      </c>
      <c r="H304" s="47" t="s">
        <v>733</v>
      </c>
      <c r="I304" s="43" t="str">
        <f t="shared" si="14"/>
        <v>外购件</v>
      </c>
      <c r="J304" s="44" t="str">
        <f t="shared" si="15"/>
        <v>外购件 软接头</v>
      </c>
      <c r="K304" s="43">
        <f>COUNTIF($J$2:J304,J304)</f>
        <v>1</v>
      </c>
    </row>
    <row r="305" spans="1:11">
      <c r="A305" s="47">
        <v>303</v>
      </c>
      <c r="B305" s="47">
        <f>IF(K305=1,COUNTIF($D$2:D305,D305),"")</f>
        <v>147</v>
      </c>
      <c r="C305" s="47"/>
      <c r="D305" s="47" t="s">
        <v>62</v>
      </c>
      <c r="E305" s="49"/>
      <c r="F305" s="49"/>
      <c r="G305" s="49" t="s">
        <v>734</v>
      </c>
      <c r="H305" s="47" t="s">
        <v>735</v>
      </c>
      <c r="I305" s="43" t="str">
        <f t="shared" si="14"/>
        <v>外购件</v>
      </c>
      <c r="J305" s="44" t="str">
        <f t="shared" si="15"/>
        <v>外购件 橡胶软连接</v>
      </c>
      <c r="K305" s="43">
        <f>COUNTIF($J$2:J305,J305)</f>
        <v>1</v>
      </c>
    </row>
    <row r="306" spans="1:11">
      <c r="A306" s="47">
        <v>304</v>
      </c>
      <c r="B306" s="47">
        <f>IF(K306=1,COUNTIF($D$2:D306,D306),"")</f>
        <v>148</v>
      </c>
      <c r="C306" s="47"/>
      <c r="D306" s="47" t="s">
        <v>62</v>
      </c>
      <c r="E306" s="49"/>
      <c r="F306" s="49"/>
      <c r="G306" s="49" t="s">
        <v>736</v>
      </c>
      <c r="H306" s="47" t="s">
        <v>737</v>
      </c>
      <c r="I306" s="43" t="str">
        <f t="shared" si="14"/>
        <v>外购件</v>
      </c>
      <c r="J306" s="44" t="str">
        <f t="shared" si="15"/>
        <v>外购件 其它软连接</v>
      </c>
      <c r="K306" s="43">
        <f>COUNTIF($J$2:J306,J306)</f>
        <v>1</v>
      </c>
    </row>
    <row r="307" s="42" customFormat="1" spans="1:11">
      <c r="A307" s="47">
        <v>305</v>
      </c>
      <c r="B307" s="47">
        <f>IF(K307=1,COUNTIF($D$2:D307,D307),"")</f>
        <v>1</v>
      </c>
      <c r="C307" s="56" t="s">
        <v>738</v>
      </c>
      <c r="D307" s="57" t="s">
        <v>89</v>
      </c>
      <c r="E307" s="58"/>
      <c r="F307" s="57"/>
      <c r="G307" s="56" t="s">
        <v>738</v>
      </c>
      <c r="H307" s="57" t="str">
        <f>IF(COUNT(A307)=1,IF(K307=1,IF(COUNTIF($D$3:D268,D307)+1&lt;10,CONCATENATE(D307,"00",COUNTIF($D$3:D268,D307)+1),IF(COUNTIF($D$3:D268,D307)+1&lt;100,CONCATENATE(D307,"0",COUNTIF($D$3:D268,D307)+1),CONCATENATE(D307,COUNTIF($D$3:D268,D307)+1))),VLOOKUP(G307,$G$3:H268,4,FALSE)),"")</f>
        <v>W001</v>
      </c>
      <c r="I307" s="43" t="str">
        <f t="shared" ref="I307:I309" si="16">IF(COUNTA(C307)=1,C307,I306)</f>
        <v>非标预制件</v>
      </c>
      <c r="J307" s="44" t="str">
        <f t="shared" ref="J307:J308" si="17">CONCATENATE(I307," ",G307)</f>
        <v>非标预制件 非标预制件</v>
      </c>
      <c r="K307" s="43">
        <f>COUNTIF($J$2:J307,J307)</f>
        <v>1</v>
      </c>
    </row>
    <row r="308" ht="16.5" customHeight="1" spans="1:11">
      <c r="A308" s="47">
        <v>306</v>
      </c>
      <c r="B308" s="47">
        <f>IF(K308=1,COUNTIF($D$2:D308,D308),"")</f>
        <v>1</v>
      </c>
      <c r="C308" s="49" t="s">
        <v>120</v>
      </c>
      <c r="D308" s="47" t="s">
        <v>122</v>
      </c>
      <c r="E308" s="49" t="s">
        <v>739</v>
      </c>
      <c r="F308" s="49" t="s">
        <v>740</v>
      </c>
      <c r="G308" s="49" t="s">
        <v>741</v>
      </c>
      <c r="H308" s="47" t="s">
        <v>742</v>
      </c>
      <c r="I308" s="43" t="str">
        <f t="shared" si="16"/>
        <v>电气</v>
      </c>
      <c r="J308" s="44" t="str">
        <f t="shared" si="17"/>
        <v>电气 框架断路器</v>
      </c>
      <c r="K308" s="43">
        <f>COUNTIF($J$2:J308,J308)</f>
        <v>1</v>
      </c>
    </row>
    <row r="309" spans="1:11">
      <c r="A309" s="47">
        <v>307</v>
      </c>
      <c r="B309" s="47">
        <f>IF(K309=1,COUNTIF($D$2:D309,D309),"")</f>
        <v>2</v>
      </c>
      <c r="C309" s="49" t="s">
        <v>120</v>
      </c>
      <c r="D309" s="47" t="s">
        <v>122</v>
      </c>
      <c r="E309" s="49" t="s">
        <v>739</v>
      </c>
      <c r="F309" s="49" t="s">
        <v>740</v>
      </c>
      <c r="G309" s="49" t="s">
        <v>743</v>
      </c>
      <c r="H309" s="47" t="s">
        <v>744</v>
      </c>
      <c r="I309" s="43" t="str">
        <f t="shared" si="16"/>
        <v>电气</v>
      </c>
      <c r="J309" s="44" t="str">
        <f t="shared" ref="J309:J353" si="18">CONCATENATE(I309," ",G309)</f>
        <v>电气 塑壳断路器</v>
      </c>
      <c r="K309" s="43">
        <f>COUNTIF($J$2:J309,J309)</f>
        <v>1</v>
      </c>
    </row>
    <row r="310" spans="1:11">
      <c r="A310" s="47">
        <v>308</v>
      </c>
      <c r="B310" s="47">
        <f>IF(K310=1,COUNTIF($D$2:D310,D310),"")</f>
        <v>3</v>
      </c>
      <c r="C310" s="49" t="s">
        <v>120</v>
      </c>
      <c r="D310" s="47" t="s">
        <v>122</v>
      </c>
      <c r="E310" s="49" t="s">
        <v>739</v>
      </c>
      <c r="F310" s="49" t="s">
        <v>740</v>
      </c>
      <c r="G310" s="49" t="s">
        <v>745</v>
      </c>
      <c r="H310" s="47" t="s">
        <v>746</v>
      </c>
      <c r="I310" s="43" t="str">
        <f t="shared" ref="I310:I353" si="19">IF(COUNTA(C310)=1,C310,I309)</f>
        <v>电气</v>
      </c>
      <c r="J310" s="44" t="str">
        <f t="shared" si="18"/>
        <v>电气 电动机保护断路器</v>
      </c>
      <c r="K310" s="43">
        <f>COUNTIF($J$2:J310,J310)</f>
        <v>1</v>
      </c>
    </row>
    <row r="311" spans="1:11">
      <c r="A311" s="47">
        <v>309</v>
      </c>
      <c r="B311" s="47">
        <f>IF(K311=1,COUNTIF($D$2:D311,D311),"")</f>
        <v>4</v>
      </c>
      <c r="C311" s="49" t="s">
        <v>120</v>
      </c>
      <c r="D311" s="47" t="s">
        <v>122</v>
      </c>
      <c r="E311" s="49" t="s">
        <v>739</v>
      </c>
      <c r="F311" s="49" t="s">
        <v>740</v>
      </c>
      <c r="G311" s="49" t="s">
        <v>747</v>
      </c>
      <c r="H311" s="47" t="s">
        <v>748</v>
      </c>
      <c r="I311" s="43" t="str">
        <f t="shared" si="19"/>
        <v>电气</v>
      </c>
      <c r="J311" s="44" t="str">
        <f t="shared" si="18"/>
        <v>电气 微型断路器</v>
      </c>
      <c r="K311" s="43">
        <f>COUNTIF($J$2:J311,J311)</f>
        <v>1</v>
      </c>
    </row>
    <row r="312" spans="1:11">
      <c r="A312" s="47">
        <v>310</v>
      </c>
      <c r="B312" s="47">
        <f>IF(K312=1,COUNTIF($D$2:D312,D312),"")</f>
        <v>5</v>
      </c>
      <c r="C312" s="49" t="s">
        <v>120</v>
      </c>
      <c r="D312" s="47" t="s">
        <v>122</v>
      </c>
      <c r="E312" s="49" t="s">
        <v>739</v>
      </c>
      <c r="F312" s="49" t="s">
        <v>740</v>
      </c>
      <c r="G312" s="49" t="s">
        <v>749</v>
      </c>
      <c r="H312" s="47" t="s">
        <v>750</v>
      </c>
      <c r="I312" s="43" t="str">
        <f t="shared" si="19"/>
        <v>电气</v>
      </c>
      <c r="J312" s="44" t="str">
        <f t="shared" si="18"/>
        <v>电气 熔断开关</v>
      </c>
      <c r="K312" s="43">
        <f>COUNTIF($J$2:J312,J312)</f>
        <v>1</v>
      </c>
    </row>
    <row r="313" spans="1:11">
      <c r="A313" s="47">
        <v>311</v>
      </c>
      <c r="B313" s="47">
        <f>IF(K313=1,COUNTIF($D$2:D313,D313),"")</f>
        <v>6</v>
      </c>
      <c r="C313" s="49" t="s">
        <v>120</v>
      </c>
      <c r="D313" s="47" t="s">
        <v>122</v>
      </c>
      <c r="E313" s="49" t="s">
        <v>739</v>
      </c>
      <c r="F313" s="49" t="s">
        <v>740</v>
      </c>
      <c r="G313" s="59" t="s">
        <v>751</v>
      </c>
      <c r="H313" s="47" t="s">
        <v>752</v>
      </c>
      <c r="I313" s="43" t="str">
        <f t="shared" si="19"/>
        <v>电气</v>
      </c>
      <c r="J313" s="44" t="str">
        <f t="shared" si="18"/>
        <v>电气 刀闸开关</v>
      </c>
      <c r="K313" s="43">
        <f>COUNTIF($J$2:J313,J313)</f>
        <v>1</v>
      </c>
    </row>
    <row r="314" spans="1:11">
      <c r="A314" s="47">
        <v>312</v>
      </c>
      <c r="B314" s="47">
        <f>IF(K314=1,COUNTIF($D$2:D314,D314),"")</f>
        <v>7</v>
      </c>
      <c r="C314" s="49" t="s">
        <v>120</v>
      </c>
      <c r="D314" s="47" t="s">
        <v>122</v>
      </c>
      <c r="E314" s="49" t="s">
        <v>739</v>
      </c>
      <c r="F314" s="49" t="s">
        <v>740</v>
      </c>
      <c r="G314" s="59" t="s">
        <v>753</v>
      </c>
      <c r="H314" s="47" t="s">
        <v>754</v>
      </c>
      <c r="I314" s="43" t="str">
        <f t="shared" si="19"/>
        <v>电气</v>
      </c>
      <c r="J314" s="44" t="str">
        <f t="shared" si="18"/>
        <v>电气 开关类产品附件</v>
      </c>
      <c r="K314" s="43">
        <f>COUNTIF($J$2:J314,J314)</f>
        <v>1</v>
      </c>
    </row>
    <row r="315" spans="1:11">
      <c r="A315" s="47">
        <v>313</v>
      </c>
      <c r="B315" s="47">
        <f>IF(K315=1,COUNTIF($D$2:D315,D315),"")</f>
        <v>8</v>
      </c>
      <c r="C315" s="49" t="s">
        <v>120</v>
      </c>
      <c r="D315" s="47" t="s">
        <v>122</v>
      </c>
      <c r="E315" s="49" t="s">
        <v>739</v>
      </c>
      <c r="F315" s="49" t="s">
        <v>740</v>
      </c>
      <c r="G315" s="59" t="s">
        <v>755</v>
      </c>
      <c r="H315" s="47" t="s">
        <v>756</v>
      </c>
      <c r="I315" s="43" t="str">
        <f t="shared" si="19"/>
        <v>电气</v>
      </c>
      <c r="J315" s="44" t="str">
        <f t="shared" si="18"/>
        <v>电气 双电源</v>
      </c>
      <c r="K315" s="43">
        <f>COUNTIF($J$2:J315,J315)</f>
        <v>1</v>
      </c>
    </row>
    <row r="316" spans="1:11">
      <c r="A316" s="47">
        <v>314</v>
      </c>
      <c r="B316" s="47">
        <f>IF(K316=1,COUNTIF($D$2:D316,D316),"")</f>
        <v>9</v>
      </c>
      <c r="C316" s="49" t="s">
        <v>120</v>
      </c>
      <c r="D316" s="47" t="s">
        <v>122</v>
      </c>
      <c r="E316" s="49" t="s">
        <v>739</v>
      </c>
      <c r="F316" s="49" t="s">
        <v>740</v>
      </c>
      <c r="G316" s="59" t="s">
        <v>757</v>
      </c>
      <c r="H316" s="47" t="s">
        <v>758</v>
      </c>
      <c r="I316" s="43" t="str">
        <f t="shared" si="19"/>
        <v>电气</v>
      </c>
      <c r="J316" s="44" t="str">
        <f t="shared" si="18"/>
        <v>电气 其它开关</v>
      </c>
      <c r="K316" s="43">
        <f>COUNTIF($J$2:J316,J316)</f>
        <v>1</v>
      </c>
    </row>
    <row r="317" spans="1:11">
      <c r="A317" s="47">
        <v>315</v>
      </c>
      <c r="B317" s="47">
        <f>IF(K317=1,COUNTIF($D$2:D317,D317),"")</f>
        <v>10</v>
      </c>
      <c r="C317" s="49" t="s">
        <v>120</v>
      </c>
      <c r="D317" s="47" t="s">
        <v>122</v>
      </c>
      <c r="E317" s="49" t="s">
        <v>739</v>
      </c>
      <c r="F317" s="49" t="s">
        <v>759</v>
      </c>
      <c r="G317" s="49" t="s">
        <v>760</v>
      </c>
      <c r="H317" s="47" t="s">
        <v>761</v>
      </c>
      <c r="I317" s="43" t="str">
        <f t="shared" si="19"/>
        <v>电气</v>
      </c>
      <c r="J317" s="44" t="str">
        <f t="shared" si="18"/>
        <v>电气 交流接触器</v>
      </c>
      <c r="K317" s="43">
        <f>COUNTIF($J$2:J317,J317)</f>
        <v>1</v>
      </c>
    </row>
    <row r="318" spans="1:11">
      <c r="A318" s="47">
        <v>316</v>
      </c>
      <c r="B318" s="47">
        <f>IF(K318=1,COUNTIF($D$2:D318,D318),"")</f>
        <v>11</v>
      </c>
      <c r="C318" s="49" t="s">
        <v>120</v>
      </c>
      <c r="D318" s="47" t="s">
        <v>122</v>
      </c>
      <c r="E318" s="49" t="s">
        <v>739</v>
      </c>
      <c r="F318" s="49" t="s">
        <v>759</v>
      </c>
      <c r="G318" s="49" t="s">
        <v>762</v>
      </c>
      <c r="H318" s="47" t="s">
        <v>763</v>
      </c>
      <c r="I318" s="43" t="str">
        <f t="shared" si="19"/>
        <v>电气</v>
      </c>
      <c r="J318" s="44" t="str">
        <f t="shared" si="18"/>
        <v>电气 直流接触器</v>
      </c>
      <c r="K318" s="43">
        <f>COUNTIF($J$2:J318,J318)</f>
        <v>1</v>
      </c>
    </row>
    <row r="319" spans="1:11">
      <c r="A319" s="47">
        <v>317</v>
      </c>
      <c r="B319" s="47">
        <f>IF(K319=1,COUNTIF($D$2:D319,D319),"")</f>
        <v>12</v>
      </c>
      <c r="C319" s="49" t="s">
        <v>120</v>
      </c>
      <c r="D319" s="47" t="s">
        <v>122</v>
      </c>
      <c r="E319" s="49" t="s">
        <v>739</v>
      </c>
      <c r="F319" s="49" t="s">
        <v>759</v>
      </c>
      <c r="G319" s="60" t="s">
        <v>764</v>
      </c>
      <c r="H319" s="61" t="s">
        <v>765</v>
      </c>
      <c r="I319" s="43" t="str">
        <f t="shared" si="19"/>
        <v>电气</v>
      </c>
      <c r="J319" s="44" t="str">
        <f t="shared" si="18"/>
        <v>电气 接触器附件</v>
      </c>
      <c r="K319" s="43">
        <f>COUNTIF($J$2:J319,J319)</f>
        <v>1</v>
      </c>
    </row>
    <row r="320" spans="1:11">
      <c r="A320" s="47">
        <v>318</v>
      </c>
      <c r="B320" s="47">
        <f>IF(K320=1,COUNTIF($D$2:D320,D320),"")</f>
        <v>13</v>
      </c>
      <c r="C320" s="49" t="s">
        <v>120</v>
      </c>
      <c r="D320" s="47" t="s">
        <v>122</v>
      </c>
      <c r="E320" s="49" t="s">
        <v>739</v>
      </c>
      <c r="F320" s="49" t="s">
        <v>766</v>
      </c>
      <c r="G320" s="60" t="s">
        <v>767</v>
      </c>
      <c r="H320" s="61" t="s">
        <v>768</v>
      </c>
      <c r="I320" s="43" t="str">
        <f t="shared" si="19"/>
        <v>电气</v>
      </c>
      <c r="J320" s="44" t="str">
        <f t="shared" si="18"/>
        <v>电气 热继电器</v>
      </c>
      <c r="K320" s="43">
        <f>COUNTIF($J$2:J320,J320)</f>
        <v>1</v>
      </c>
    </row>
    <row r="321" spans="1:11">
      <c r="A321" s="47"/>
      <c r="B321" s="47"/>
      <c r="C321" s="49" t="s">
        <v>120</v>
      </c>
      <c r="D321" s="47" t="s">
        <v>122</v>
      </c>
      <c r="E321" s="49" t="s">
        <v>739</v>
      </c>
      <c r="F321" s="49" t="s">
        <v>766</v>
      </c>
      <c r="G321" s="60" t="s">
        <v>769</v>
      </c>
      <c r="H321" s="61" t="s">
        <v>770</v>
      </c>
      <c r="I321" s="43" t="str">
        <f t="shared" ref="I321" si="20">IF(COUNTA(C321)=1,C321,I320)</f>
        <v>电气</v>
      </c>
      <c r="J321" s="44" t="str">
        <f t="shared" ref="J321" si="21">CONCATENATE(I321," ",G321)</f>
        <v>电气 热继电器附件</v>
      </c>
      <c r="K321" s="43">
        <f>COUNTIF($J$2:J321,J321)</f>
        <v>1</v>
      </c>
    </row>
    <row r="322" spans="1:11">
      <c r="A322" s="47">
        <v>319</v>
      </c>
      <c r="B322" s="47">
        <f>IF(K322=1,COUNTIF($D$2:D322,D322),"")</f>
        <v>15</v>
      </c>
      <c r="C322" s="49" t="s">
        <v>120</v>
      </c>
      <c r="D322" s="47" t="s">
        <v>122</v>
      </c>
      <c r="E322" s="49" t="s">
        <v>739</v>
      </c>
      <c r="F322" s="49" t="s">
        <v>771</v>
      </c>
      <c r="G322" s="60" t="s">
        <v>772</v>
      </c>
      <c r="H322" s="61" t="s">
        <v>773</v>
      </c>
      <c r="I322" s="43" t="str">
        <f>IF(COUNTA(C322)=1,C322,I320)</f>
        <v>电气</v>
      </c>
      <c r="J322" s="44" t="str">
        <f t="shared" si="18"/>
        <v>电气 高压变频器</v>
      </c>
      <c r="K322" s="43">
        <f>COUNTIF($J$2:J322,J322)</f>
        <v>1</v>
      </c>
    </row>
    <row r="323" spans="1:11">
      <c r="A323" s="47">
        <v>320</v>
      </c>
      <c r="B323" s="47">
        <f>IF(K323=1,COUNTIF($D$2:D323,D323),"")</f>
        <v>16</v>
      </c>
      <c r="C323" s="49" t="s">
        <v>120</v>
      </c>
      <c r="D323" s="47" t="s">
        <v>122</v>
      </c>
      <c r="E323" s="49" t="s">
        <v>739</v>
      </c>
      <c r="F323" s="49" t="s">
        <v>771</v>
      </c>
      <c r="G323" s="60" t="s">
        <v>774</v>
      </c>
      <c r="H323" s="61" t="s">
        <v>775</v>
      </c>
      <c r="I323" s="43" t="str">
        <f t="shared" si="19"/>
        <v>电气</v>
      </c>
      <c r="J323" s="44" t="str">
        <f t="shared" si="18"/>
        <v>电气 低压变频器</v>
      </c>
      <c r="K323" s="43">
        <f>COUNTIF($J$2:J323,J323)</f>
        <v>1</v>
      </c>
    </row>
    <row r="324" spans="1:11">
      <c r="A324" s="47"/>
      <c r="B324" s="47"/>
      <c r="C324" s="49" t="s">
        <v>120</v>
      </c>
      <c r="D324" s="47" t="s">
        <v>122</v>
      </c>
      <c r="E324" s="49" t="s">
        <v>739</v>
      </c>
      <c r="F324" s="49" t="s">
        <v>771</v>
      </c>
      <c r="G324" s="62" t="s">
        <v>776</v>
      </c>
      <c r="H324" s="63" t="s">
        <v>777</v>
      </c>
      <c r="I324" s="43" t="str">
        <f t="shared" ref="I324" si="22">IF(COUNTA(C324)=1,C324,I323)</f>
        <v>电气</v>
      </c>
      <c r="J324" s="44" t="str">
        <f t="shared" ref="J324" si="23">CONCATENATE(I324," ",G324)</f>
        <v>电气 变频器附件</v>
      </c>
      <c r="K324" s="43">
        <f>COUNTIF($J$2:J324,J324)</f>
        <v>1</v>
      </c>
    </row>
    <row r="325" spans="1:11">
      <c r="A325" s="47">
        <v>321</v>
      </c>
      <c r="B325" s="47">
        <f>IF(K325=1,COUNTIF($D$2:D325,D325),"")</f>
        <v>18</v>
      </c>
      <c r="C325" s="49" t="s">
        <v>120</v>
      </c>
      <c r="D325" s="47" t="s">
        <v>122</v>
      </c>
      <c r="E325" s="49" t="s">
        <v>739</v>
      </c>
      <c r="F325" s="49" t="s">
        <v>778</v>
      </c>
      <c r="G325" s="60" t="s">
        <v>779</v>
      </c>
      <c r="H325" s="61" t="s">
        <v>780</v>
      </c>
      <c r="I325" s="43" t="str">
        <f>IF(COUNTA(C325)=1,C325,I323)</f>
        <v>电气</v>
      </c>
      <c r="J325" s="44" t="str">
        <f t="shared" si="18"/>
        <v>电气 高压软启动器</v>
      </c>
      <c r="K325" s="43">
        <f>COUNTIF($J$2:J325,J325)</f>
        <v>1</v>
      </c>
    </row>
    <row r="326" spans="1:11">
      <c r="A326" s="47">
        <v>322</v>
      </c>
      <c r="B326" s="47">
        <f>IF(K326=1,COUNTIF($D$2:D326,D326),"")</f>
        <v>19</v>
      </c>
      <c r="C326" s="49" t="s">
        <v>120</v>
      </c>
      <c r="D326" s="47" t="s">
        <v>122</v>
      </c>
      <c r="E326" s="49" t="s">
        <v>739</v>
      </c>
      <c r="F326" s="49" t="s">
        <v>778</v>
      </c>
      <c r="G326" s="60" t="s">
        <v>781</v>
      </c>
      <c r="H326" s="61" t="s">
        <v>782</v>
      </c>
      <c r="I326" s="43" t="str">
        <f t="shared" si="19"/>
        <v>电气</v>
      </c>
      <c r="J326" s="44" t="str">
        <f t="shared" si="18"/>
        <v>电气 低压软启动器</v>
      </c>
      <c r="K326" s="43">
        <f>COUNTIF($J$2:J326,J326)</f>
        <v>1</v>
      </c>
    </row>
    <row r="327" spans="1:11">
      <c r="A327" s="47">
        <v>323</v>
      </c>
      <c r="B327" s="47">
        <f>IF(K327=1,COUNTIF($D$2:D327,D327),"")</f>
        <v>20</v>
      </c>
      <c r="C327" s="49" t="s">
        <v>120</v>
      </c>
      <c r="D327" s="47" t="s">
        <v>122</v>
      </c>
      <c r="E327" s="49" t="s">
        <v>739</v>
      </c>
      <c r="F327" s="49" t="s">
        <v>783</v>
      </c>
      <c r="G327" s="60" t="s">
        <v>784</v>
      </c>
      <c r="H327" s="61" t="s">
        <v>785</v>
      </c>
      <c r="I327" s="43" t="str">
        <f t="shared" si="19"/>
        <v>电气</v>
      </c>
      <c r="J327" s="44" t="str">
        <f t="shared" si="18"/>
        <v>电气 低压电动机保护器</v>
      </c>
      <c r="K327" s="43">
        <f>COUNTIF($J$2:J327,J327)</f>
        <v>1</v>
      </c>
    </row>
    <row r="328" spans="1:11">
      <c r="A328" s="47">
        <v>324</v>
      </c>
      <c r="B328" s="47">
        <f>IF(K328=1,COUNTIF($D$2:D328,D328),"")</f>
        <v>21</v>
      </c>
      <c r="C328" s="49" t="s">
        <v>120</v>
      </c>
      <c r="D328" s="47" t="s">
        <v>122</v>
      </c>
      <c r="E328" s="49" t="s">
        <v>739</v>
      </c>
      <c r="F328" s="49" t="s">
        <v>786</v>
      </c>
      <c r="G328" s="60" t="s">
        <v>787</v>
      </c>
      <c r="H328" s="61" t="s">
        <v>788</v>
      </c>
      <c r="I328" s="43" t="str">
        <f t="shared" si="19"/>
        <v>电气</v>
      </c>
      <c r="J328" s="44" t="str">
        <f t="shared" si="18"/>
        <v>电气 小型继电器</v>
      </c>
      <c r="K328" s="43">
        <f>COUNTIF($J$2:J328,J328)</f>
        <v>1</v>
      </c>
    </row>
    <row r="329" spans="1:11">
      <c r="A329" s="47">
        <v>325</v>
      </c>
      <c r="B329" s="47">
        <f>IF(K329=1,COUNTIF($D$2:D329,D329),"")</f>
        <v>22</v>
      </c>
      <c r="C329" s="49" t="s">
        <v>120</v>
      </c>
      <c r="D329" s="47" t="s">
        <v>122</v>
      </c>
      <c r="E329" s="49" t="s">
        <v>739</v>
      </c>
      <c r="F329" s="49" t="s">
        <v>786</v>
      </c>
      <c r="G329" s="60" t="s">
        <v>789</v>
      </c>
      <c r="H329" s="61" t="s">
        <v>790</v>
      </c>
      <c r="I329" s="43" t="str">
        <f t="shared" si="19"/>
        <v>电气</v>
      </c>
      <c r="J329" s="44" t="str">
        <f t="shared" si="18"/>
        <v>电气 控制型继电器</v>
      </c>
      <c r="K329" s="43">
        <f>COUNTIF($J$2:J329,J329)</f>
        <v>1</v>
      </c>
    </row>
    <row r="330" spans="1:11">
      <c r="A330" s="47">
        <v>326</v>
      </c>
      <c r="B330" s="47">
        <f>IF(K330=1,COUNTIF($D$2:D330,D330),"")</f>
        <v>23</v>
      </c>
      <c r="C330" s="49" t="s">
        <v>120</v>
      </c>
      <c r="D330" s="47" t="s">
        <v>122</v>
      </c>
      <c r="E330" s="49" t="s">
        <v>739</v>
      </c>
      <c r="F330" s="49" t="s">
        <v>786</v>
      </c>
      <c r="G330" s="60" t="s">
        <v>791</v>
      </c>
      <c r="H330" s="61" t="s">
        <v>792</v>
      </c>
      <c r="I330" s="43" t="str">
        <f t="shared" si="19"/>
        <v>电气</v>
      </c>
      <c r="J330" s="44" t="str">
        <f t="shared" si="18"/>
        <v>电气 端子型中间继电器</v>
      </c>
      <c r="K330" s="43">
        <f>COUNTIF($J$2:J330,J330)</f>
        <v>1</v>
      </c>
    </row>
    <row r="331" spans="1:11">
      <c r="A331" s="47">
        <v>327</v>
      </c>
      <c r="B331" s="47">
        <f>IF(K331=1,COUNTIF($D$2:D331,D331),"")</f>
        <v>24</v>
      </c>
      <c r="C331" s="49" t="s">
        <v>120</v>
      </c>
      <c r="D331" s="47" t="s">
        <v>122</v>
      </c>
      <c r="E331" s="49" t="s">
        <v>739</v>
      </c>
      <c r="F331" s="49" t="s">
        <v>786</v>
      </c>
      <c r="G331" s="60" t="s">
        <v>793</v>
      </c>
      <c r="H331" s="61" t="s">
        <v>794</v>
      </c>
      <c r="I331" s="43" t="str">
        <f t="shared" si="19"/>
        <v>电气</v>
      </c>
      <c r="J331" s="44" t="str">
        <f t="shared" si="18"/>
        <v>电气 延时继电器</v>
      </c>
      <c r="K331" s="43">
        <f>COUNTIF($J$2:J331,J331)</f>
        <v>1</v>
      </c>
    </row>
    <row r="332" spans="1:11">
      <c r="A332" s="47">
        <v>328</v>
      </c>
      <c r="B332" s="47">
        <f>IF(K332=1,COUNTIF($D$2:D332,D332),"")</f>
        <v>25</v>
      </c>
      <c r="C332" s="49" t="s">
        <v>120</v>
      </c>
      <c r="D332" s="47" t="s">
        <v>122</v>
      </c>
      <c r="E332" s="49" t="s">
        <v>739</v>
      </c>
      <c r="F332" s="49" t="s">
        <v>786</v>
      </c>
      <c r="G332" s="60" t="s">
        <v>795</v>
      </c>
      <c r="H332" s="61" t="s">
        <v>796</v>
      </c>
      <c r="I332" s="43" t="str">
        <f t="shared" si="19"/>
        <v>电气</v>
      </c>
      <c r="J332" s="44" t="str">
        <f t="shared" si="18"/>
        <v>电气 中间继电器底座</v>
      </c>
      <c r="K332" s="43">
        <f>COUNTIF($J$2:J332,J332)</f>
        <v>1</v>
      </c>
    </row>
    <row r="333" spans="1:11">
      <c r="A333" s="47">
        <v>329</v>
      </c>
      <c r="B333" s="47">
        <f>IF(K333=1,COUNTIF($D$2:D333,D333),"")</f>
        <v>26</v>
      </c>
      <c r="C333" s="49" t="s">
        <v>120</v>
      </c>
      <c r="D333" s="47" t="s">
        <v>122</v>
      </c>
      <c r="E333" s="49" t="s">
        <v>739</v>
      </c>
      <c r="F333" s="49" t="s">
        <v>797</v>
      </c>
      <c r="G333" s="60" t="s">
        <v>798</v>
      </c>
      <c r="H333" s="61" t="s">
        <v>799</v>
      </c>
      <c r="I333" s="43" t="str">
        <f t="shared" si="19"/>
        <v>电气</v>
      </c>
      <c r="J333" s="44" t="str">
        <f t="shared" si="18"/>
        <v>电气 旋钮</v>
      </c>
      <c r="K333" s="43">
        <f>COUNTIF($J$2:J333,J333)</f>
        <v>1</v>
      </c>
    </row>
    <row r="334" spans="1:11">
      <c r="A334" s="47">
        <v>330</v>
      </c>
      <c r="B334" s="47">
        <f>IF(K334=1,COUNTIF($D$2:D334,D334),"")</f>
        <v>27</v>
      </c>
      <c r="C334" s="49" t="s">
        <v>120</v>
      </c>
      <c r="D334" s="47" t="s">
        <v>122</v>
      </c>
      <c r="E334" s="49" t="s">
        <v>739</v>
      </c>
      <c r="F334" s="49" t="s">
        <v>797</v>
      </c>
      <c r="G334" s="60" t="s">
        <v>800</v>
      </c>
      <c r="H334" s="61" t="s">
        <v>801</v>
      </c>
      <c r="I334" s="43" t="str">
        <f t="shared" si="19"/>
        <v>电气</v>
      </c>
      <c r="J334" s="44" t="str">
        <f t="shared" si="18"/>
        <v>电气 按钮</v>
      </c>
      <c r="K334" s="43">
        <f>COUNTIF($J$2:J334,J334)</f>
        <v>1</v>
      </c>
    </row>
    <row r="335" spans="1:11">
      <c r="A335" s="47">
        <v>331</v>
      </c>
      <c r="B335" s="47">
        <f>IF(K335=1,COUNTIF($D$2:D335,D335),"")</f>
        <v>28</v>
      </c>
      <c r="C335" s="49" t="s">
        <v>120</v>
      </c>
      <c r="D335" s="47" t="s">
        <v>122</v>
      </c>
      <c r="E335" s="49" t="s">
        <v>739</v>
      </c>
      <c r="F335" s="49" t="s">
        <v>797</v>
      </c>
      <c r="G335" s="60" t="s">
        <v>802</v>
      </c>
      <c r="H335" s="61" t="s">
        <v>803</v>
      </c>
      <c r="I335" s="43" t="str">
        <f t="shared" si="19"/>
        <v>电气</v>
      </c>
      <c r="J335" s="44" t="str">
        <f t="shared" si="18"/>
        <v>电气 指示灯</v>
      </c>
      <c r="K335" s="43">
        <f>COUNTIF($J$2:J335,J335)</f>
        <v>1</v>
      </c>
    </row>
    <row r="336" spans="1:11">
      <c r="A336" s="47">
        <v>332</v>
      </c>
      <c r="B336" s="47">
        <f>IF(K336=1,COUNTIF($D$2:D336,D336),"")</f>
        <v>29</v>
      </c>
      <c r="C336" s="49" t="s">
        <v>120</v>
      </c>
      <c r="D336" s="47" t="s">
        <v>122</v>
      </c>
      <c r="E336" s="49" t="s">
        <v>739</v>
      </c>
      <c r="F336" s="49" t="s">
        <v>797</v>
      </c>
      <c r="G336" s="60" t="s">
        <v>804</v>
      </c>
      <c r="H336" s="61" t="s">
        <v>805</v>
      </c>
      <c r="I336" s="43" t="str">
        <f t="shared" si="19"/>
        <v>电气</v>
      </c>
      <c r="J336" s="44" t="str">
        <f t="shared" si="18"/>
        <v>电气 报警</v>
      </c>
      <c r="K336" s="43">
        <f>COUNTIF($J$2:J336,J336)</f>
        <v>1</v>
      </c>
    </row>
    <row r="337" spans="1:11">
      <c r="A337" s="47">
        <v>333</v>
      </c>
      <c r="B337" s="47">
        <f>IF(K337=1,COUNTIF($D$2:D337,D337),"")</f>
        <v>30</v>
      </c>
      <c r="C337" s="49" t="s">
        <v>120</v>
      </c>
      <c r="D337" s="47" t="s">
        <v>122</v>
      </c>
      <c r="E337" s="49" t="s">
        <v>739</v>
      </c>
      <c r="F337" s="49" t="s">
        <v>797</v>
      </c>
      <c r="G337" s="60" t="s">
        <v>806</v>
      </c>
      <c r="H337" s="61" t="s">
        <v>807</v>
      </c>
      <c r="I337" s="43" t="str">
        <f t="shared" si="19"/>
        <v>电气</v>
      </c>
      <c r="J337" s="44" t="str">
        <f t="shared" si="18"/>
        <v>电气 按钮盒</v>
      </c>
      <c r="K337" s="43">
        <f>COUNTIF($J$2:J337,J337)</f>
        <v>1</v>
      </c>
    </row>
    <row r="338" spans="1:11">
      <c r="A338" s="47"/>
      <c r="B338" s="47"/>
      <c r="C338" s="49" t="s">
        <v>120</v>
      </c>
      <c r="D338" s="47" t="s">
        <v>122</v>
      </c>
      <c r="E338" s="49" t="s">
        <v>739</v>
      </c>
      <c r="F338" s="49" t="s">
        <v>797</v>
      </c>
      <c r="G338" s="62" t="s">
        <v>808</v>
      </c>
      <c r="H338" s="63" t="s">
        <v>809</v>
      </c>
      <c r="I338" s="43" t="str">
        <f t="shared" ref="I338" si="24">IF(COUNTA(C338)=1,C338,I337)</f>
        <v>电气</v>
      </c>
      <c r="J338" s="44" t="str">
        <f t="shared" ref="J338" si="25">CONCATENATE(I338," ",G338)</f>
        <v>电气 按钮底座</v>
      </c>
      <c r="K338" s="43">
        <f>COUNTIF($J$2:J338,J338)</f>
        <v>1</v>
      </c>
    </row>
    <row r="339" spans="1:11">
      <c r="A339" s="47">
        <v>334</v>
      </c>
      <c r="B339" s="47">
        <f>IF(K339=1,COUNTIF($D$2:D339,D339),"")</f>
        <v>32</v>
      </c>
      <c r="C339" s="49" t="s">
        <v>120</v>
      </c>
      <c r="D339" s="47" t="s">
        <v>122</v>
      </c>
      <c r="E339" s="49" t="s">
        <v>739</v>
      </c>
      <c r="F339" s="49" t="s">
        <v>810</v>
      </c>
      <c r="G339" s="60" t="s">
        <v>811</v>
      </c>
      <c r="H339" s="61" t="s">
        <v>812</v>
      </c>
      <c r="I339" s="43" t="str">
        <f>IF(COUNTA(C339)=1,C339,I337)</f>
        <v>电气</v>
      </c>
      <c r="J339" s="44" t="str">
        <f t="shared" si="18"/>
        <v>电气 交流电流互感器</v>
      </c>
      <c r="K339" s="43">
        <f>COUNTIF($J$2:J339,J339)</f>
        <v>1</v>
      </c>
    </row>
    <row r="340" spans="1:11">
      <c r="A340" s="47">
        <v>335</v>
      </c>
      <c r="B340" s="47">
        <f>IF(K340=1,COUNTIF($D$2:D340,D340),"")</f>
        <v>33</v>
      </c>
      <c r="C340" s="49" t="s">
        <v>120</v>
      </c>
      <c r="D340" s="47" t="s">
        <v>122</v>
      </c>
      <c r="E340" s="49" t="s">
        <v>739</v>
      </c>
      <c r="F340" s="49" t="s">
        <v>810</v>
      </c>
      <c r="G340" s="60" t="s">
        <v>813</v>
      </c>
      <c r="H340" s="61" t="s">
        <v>814</v>
      </c>
      <c r="I340" s="43" t="str">
        <f t="shared" si="19"/>
        <v>电气</v>
      </c>
      <c r="J340" s="44" t="str">
        <f t="shared" si="18"/>
        <v>电气 交流电流变送器</v>
      </c>
      <c r="K340" s="43">
        <f>COUNTIF($J$2:J340,J340)</f>
        <v>1</v>
      </c>
    </row>
    <row r="341" spans="1:11">
      <c r="A341" s="47">
        <v>336</v>
      </c>
      <c r="B341" s="47">
        <f>IF(K341=1,COUNTIF($D$2:D341,D341),"")</f>
        <v>34</v>
      </c>
      <c r="C341" s="49" t="s">
        <v>120</v>
      </c>
      <c r="D341" s="47" t="s">
        <v>122</v>
      </c>
      <c r="E341" s="49" t="s">
        <v>739</v>
      </c>
      <c r="F341" s="49" t="s">
        <v>815</v>
      </c>
      <c r="G341" s="60" t="s">
        <v>816</v>
      </c>
      <c r="H341" s="61" t="s">
        <v>817</v>
      </c>
      <c r="I341" s="43" t="str">
        <f t="shared" si="19"/>
        <v>电气</v>
      </c>
      <c r="J341" s="44" t="str">
        <f t="shared" si="18"/>
        <v>电气 电流表</v>
      </c>
      <c r="K341" s="43">
        <f>COUNTIF($J$2:J341,J341)</f>
        <v>1</v>
      </c>
    </row>
    <row r="342" spans="1:11">
      <c r="A342" s="47">
        <v>337</v>
      </c>
      <c r="B342" s="47">
        <f>IF(K342=1,COUNTIF($D$2:D342,D342),"")</f>
        <v>35</v>
      </c>
      <c r="C342" s="49" t="s">
        <v>120</v>
      </c>
      <c r="D342" s="47" t="s">
        <v>122</v>
      </c>
      <c r="E342" s="49" t="s">
        <v>739</v>
      </c>
      <c r="F342" s="49" t="s">
        <v>815</v>
      </c>
      <c r="G342" s="60" t="s">
        <v>818</v>
      </c>
      <c r="H342" s="61" t="s">
        <v>819</v>
      </c>
      <c r="I342" s="43" t="str">
        <f t="shared" si="19"/>
        <v>电气</v>
      </c>
      <c r="J342" s="44" t="str">
        <f t="shared" si="18"/>
        <v>电气 电压表</v>
      </c>
      <c r="K342" s="43">
        <f>COUNTIF($J$2:J342,J342)</f>
        <v>1</v>
      </c>
    </row>
    <row r="343" spans="1:11">
      <c r="A343" s="47">
        <v>338</v>
      </c>
      <c r="B343" s="47">
        <f>IF(K343=1,COUNTIF($D$2:D343,D343),"")</f>
        <v>36</v>
      </c>
      <c r="C343" s="49" t="s">
        <v>120</v>
      </c>
      <c r="D343" s="47" t="s">
        <v>122</v>
      </c>
      <c r="E343" s="49" t="s">
        <v>739</v>
      </c>
      <c r="F343" s="49" t="s">
        <v>815</v>
      </c>
      <c r="G343" s="60" t="s">
        <v>820</v>
      </c>
      <c r="H343" s="61" t="s">
        <v>821</v>
      </c>
      <c r="I343" s="43" t="str">
        <f t="shared" si="19"/>
        <v>电气</v>
      </c>
      <c r="J343" s="44" t="str">
        <f t="shared" si="18"/>
        <v>电气 频率表</v>
      </c>
      <c r="K343" s="43">
        <f>COUNTIF($J$2:J343,J343)</f>
        <v>1</v>
      </c>
    </row>
    <row r="344" spans="1:11">
      <c r="A344" s="47">
        <v>339</v>
      </c>
      <c r="B344" s="47">
        <f>IF(K344=1,COUNTIF($D$2:D344,D344),"")</f>
        <v>37</v>
      </c>
      <c r="C344" s="49" t="s">
        <v>120</v>
      </c>
      <c r="D344" s="47" t="s">
        <v>122</v>
      </c>
      <c r="E344" s="49" t="s">
        <v>739</v>
      </c>
      <c r="F344" s="49" t="s">
        <v>815</v>
      </c>
      <c r="G344" s="60" t="s">
        <v>822</v>
      </c>
      <c r="H344" s="61" t="s">
        <v>823</v>
      </c>
      <c r="I344" s="43" t="str">
        <f t="shared" si="19"/>
        <v>电气</v>
      </c>
      <c r="J344" s="44" t="str">
        <f t="shared" si="18"/>
        <v>电气 电能表</v>
      </c>
      <c r="K344" s="43">
        <f>COUNTIF($J$2:J344,J344)</f>
        <v>1</v>
      </c>
    </row>
    <row r="345" spans="1:11">
      <c r="A345" s="47">
        <v>340</v>
      </c>
      <c r="B345" s="47">
        <f>IF(K345=1,COUNTIF($D$2:D345,D345),"")</f>
        <v>38</v>
      </c>
      <c r="C345" s="49" t="s">
        <v>120</v>
      </c>
      <c r="D345" s="47" t="s">
        <v>122</v>
      </c>
      <c r="E345" s="49" t="s">
        <v>739</v>
      </c>
      <c r="F345" s="49" t="s">
        <v>815</v>
      </c>
      <c r="G345" s="60" t="s">
        <v>824</v>
      </c>
      <c r="H345" s="61" t="s">
        <v>825</v>
      </c>
      <c r="I345" s="43" t="str">
        <f t="shared" si="19"/>
        <v>电气</v>
      </c>
      <c r="J345" s="44" t="str">
        <f t="shared" si="18"/>
        <v>电气 多功能表</v>
      </c>
      <c r="K345" s="43">
        <f>COUNTIF($J$2:J345,J345)</f>
        <v>1</v>
      </c>
    </row>
    <row r="346" spans="1:11">
      <c r="A346" s="47">
        <v>341</v>
      </c>
      <c r="B346" s="47">
        <f>IF(K346=1,COUNTIF($D$2:D346,D346),"")</f>
        <v>39</v>
      </c>
      <c r="C346" s="49" t="s">
        <v>120</v>
      </c>
      <c r="D346" s="47" t="s">
        <v>122</v>
      </c>
      <c r="E346" s="49" t="s">
        <v>739</v>
      </c>
      <c r="F346" s="49" t="s">
        <v>815</v>
      </c>
      <c r="G346" s="64" t="s">
        <v>826</v>
      </c>
      <c r="H346" s="61" t="s">
        <v>827</v>
      </c>
      <c r="I346" s="43" t="str">
        <f t="shared" si="19"/>
        <v>电气</v>
      </c>
      <c r="J346" s="44" t="str">
        <f t="shared" si="18"/>
        <v>电气 其它电量仪表</v>
      </c>
      <c r="K346" s="43">
        <f>COUNTIF($J$2:J346,J346)</f>
        <v>1</v>
      </c>
    </row>
    <row r="347" spans="1:11">
      <c r="A347" s="47">
        <v>342</v>
      </c>
      <c r="B347" s="47">
        <f>IF(K347=1,COUNTIF($D$2:D347,D347),"")</f>
        <v>40</v>
      </c>
      <c r="C347" s="49" t="s">
        <v>120</v>
      </c>
      <c r="D347" s="47" t="s">
        <v>122</v>
      </c>
      <c r="E347" s="49" t="s">
        <v>739</v>
      </c>
      <c r="F347" s="49" t="s">
        <v>828</v>
      </c>
      <c r="G347" s="60" t="s">
        <v>829</v>
      </c>
      <c r="H347" s="61" t="s">
        <v>830</v>
      </c>
      <c r="I347" s="43" t="str">
        <f t="shared" si="19"/>
        <v>电气</v>
      </c>
      <c r="J347" s="44" t="str">
        <f t="shared" si="18"/>
        <v>电气 螺钉端子</v>
      </c>
      <c r="K347" s="43">
        <f>COUNTIF($J$2:J347,J347)</f>
        <v>1</v>
      </c>
    </row>
    <row r="348" spans="1:11">
      <c r="A348" s="47">
        <v>343</v>
      </c>
      <c r="B348" s="47">
        <f>IF(K348=1,COUNTIF($D$2:D348,D348),"")</f>
        <v>41</v>
      </c>
      <c r="C348" s="49" t="s">
        <v>120</v>
      </c>
      <c r="D348" s="47" t="s">
        <v>122</v>
      </c>
      <c r="E348" s="49" t="s">
        <v>739</v>
      </c>
      <c r="F348" s="49" t="s">
        <v>828</v>
      </c>
      <c r="G348" s="60" t="s">
        <v>831</v>
      </c>
      <c r="H348" s="61" t="s">
        <v>832</v>
      </c>
      <c r="I348" s="43" t="str">
        <f t="shared" si="19"/>
        <v>电气</v>
      </c>
      <c r="J348" s="44" t="str">
        <f t="shared" si="18"/>
        <v>电气 弹簧端子</v>
      </c>
      <c r="K348" s="43">
        <f>COUNTIF($J$2:J348,J348)</f>
        <v>1</v>
      </c>
    </row>
    <row r="349" spans="1:11">
      <c r="A349" s="47">
        <v>344</v>
      </c>
      <c r="B349" s="47">
        <f>IF(K349=1,COUNTIF($D$2:D349,D349),"")</f>
        <v>42</v>
      </c>
      <c r="C349" s="49" t="s">
        <v>120</v>
      </c>
      <c r="D349" s="47" t="s">
        <v>122</v>
      </c>
      <c r="E349" s="49" t="s">
        <v>739</v>
      </c>
      <c r="F349" s="49" t="s">
        <v>828</v>
      </c>
      <c r="G349" s="60" t="s">
        <v>833</v>
      </c>
      <c r="H349" s="61" t="s">
        <v>834</v>
      </c>
      <c r="I349" s="43" t="str">
        <f t="shared" si="19"/>
        <v>电气</v>
      </c>
      <c r="J349" s="44" t="str">
        <f t="shared" si="18"/>
        <v>电气 插拔端子</v>
      </c>
      <c r="K349" s="43">
        <f>COUNTIF($J$2:J349,J349)</f>
        <v>1</v>
      </c>
    </row>
    <row r="350" spans="1:11">
      <c r="A350" s="47">
        <v>345</v>
      </c>
      <c r="B350" s="47">
        <f>IF(K350=1,COUNTIF($D$2:D350,D350),"")</f>
        <v>43</v>
      </c>
      <c r="C350" s="49" t="s">
        <v>120</v>
      </c>
      <c r="D350" s="47" t="s">
        <v>122</v>
      </c>
      <c r="E350" s="49" t="s">
        <v>739</v>
      </c>
      <c r="F350" s="49" t="s">
        <v>828</v>
      </c>
      <c r="G350" s="60" t="s">
        <v>835</v>
      </c>
      <c r="H350" s="61" t="s">
        <v>836</v>
      </c>
      <c r="I350" s="43" t="str">
        <f t="shared" si="19"/>
        <v>电气</v>
      </c>
      <c r="J350" s="44" t="str">
        <f t="shared" si="18"/>
        <v>电气 其它端子</v>
      </c>
      <c r="K350" s="43">
        <f>COUNTIF($J$2:J350,J350)</f>
        <v>1</v>
      </c>
    </row>
    <row r="351" spans="1:11">
      <c r="A351" s="47">
        <v>346</v>
      </c>
      <c r="B351" s="47">
        <f>IF(K351=1,COUNTIF($D$2:D351,D351),"")</f>
        <v>44</v>
      </c>
      <c r="C351" s="49" t="s">
        <v>120</v>
      </c>
      <c r="D351" s="47" t="s">
        <v>122</v>
      </c>
      <c r="E351" s="49" t="s">
        <v>739</v>
      </c>
      <c r="F351" s="64" t="s">
        <v>837</v>
      </c>
      <c r="G351" s="64" t="s">
        <v>838</v>
      </c>
      <c r="H351" s="61" t="s">
        <v>839</v>
      </c>
      <c r="I351" s="43" t="str">
        <f t="shared" si="19"/>
        <v>电气</v>
      </c>
      <c r="J351" s="44" t="str">
        <f t="shared" si="18"/>
        <v>电气 矩形接插件</v>
      </c>
      <c r="K351" s="43">
        <f>COUNTIF($J$2:J351,J351)</f>
        <v>1</v>
      </c>
    </row>
    <row r="352" spans="1:11">
      <c r="A352" s="47">
        <v>347</v>
      </c>
      <c r="B352" s="47">
        <f>IF(K352=1,COUNTIF($D$2:D352,D352),"")</f>
        <v>45</v>
      </c>
      <c r="C352" s="49" t="s">
        <v>120</v>
      </c>
      <c r="D352" s="47" t="s">
        <v>122</v>
      </c>
      <c r="E352" s="49" t="s">
        <v>739</v>
      </c>
      <c r="F352" s="64" t="s">
        <v>837</v>
      </c>
      <c r="G352" s="64" t="s">
        <v>840</v>
      </c>
      <c r="H352" s="61" t="s">
        <v>841</v>
      </c>
      <c r="I352" s="43" t="str">
        <f t="shared" si="19"/>
        <v>电气</v>
      </c>
      <c r="J352" s="44" t="str">
        <f t="shared" si="18"/>
        <v>电气 工业插座</v>
      </c>
      <c r="K352" s="43">
        <f>COUNTIF($J$2:J352,J352)</f>
        <v>1</v>
      </c>
    </row>
    <row r="353" spans="1:11">
      <c r="A353" s="47">
        <v>348</v>
      </c>
      <c r="B353" s="47">
        <f>IF(K353=1,COUNTIF($D$2:D353,D353),"")</f>
        <v>46</v>
      </c>
      <c r="C353" s="49" t="s">
        <v>120</v>
      </c>
      <c r="D353" s="47" t="s">
        <v>122</v>
      </c>
      <c r="E353" s="49" t="s">
        <v>739</v>
      </c>
      <c r="F353" s="64" t="s">
        <v>837</v>
      </c>
      <c r="G353" s="64" t="s">
        <v>842</v>
      </c>
      <c r="H353" s="61" t="s">
        <v>843</v>
      </c>
      <c r="I353" s="43" t="str">
        <f t="shared" si="19"/>
        <v>电气</v>
      </c>
      <c r="J353" s="44" t="str">
        <f t="shared" si="18"/>
        <v>电气 工业插头</v>
      </c>
      <c r="K353" s="43">
        <f>COUNTIF($J$2:J353,J353)</f>
        <v>1</v>
      </c>
    </row>
    <row r="354" spans="1:11">
      <c r="A354" s="47">
        <v>349</v>
      </c>
      <c r="B354" s="47">
        <f>IF(K354=1,COUNTIF($D$2:D354,D354),"")</f>
        <v>47</v>
      </c>
      <c r="C354" s="49" t="s">
        <v>120</v>
      </c>
      <c r="D354" s="47" t="s">
        <v>122</v>
      </c>
      <c r="E354" s="49" t="s">
        <v>739</v>
      </c>
      <c r="F354" s="49" t="s">
        <v>844</v>
      </c>
      <c r="G354" s="60" t="s">
        <v>845</v>
      </c>
      <c r="H354" s="61" t="s">
        <v>846</v>
      </c>
      <c r="I354" s="43" t="str">
        <f t="shared" ref="I354:I420" si="26">IF(COUNTA(C354)=1,C354,I353)</f>
        <v>电气</v>
      </c>
      <c r="J354" s="44" t="str">
        <f t="shared" ref="J354:J420" si="27">CONCATENATE(I354," ",G354)</f>
        <v>电气 PTC保护继电器</v>
      </c>
      <c r="K354" s="43">
        <f>COUNTIF($J$2:J354,J354)</f>
        <v>1</v>
      </c>
    </row>
    <row r="355" spans="1:11">
      <c r="A355" s="47">
        <v>350</v>
      </c>
      <c r="B355" s="47">
        <f>IF(K355=1,COUNTIF($D$2:D355,D355),"")</f>
        <v>48</v>
      </c>
      <c r="C355" s="49" t="s">
        <v>120</v>
      </c>
      <c r="D355" s="47" t="s">
        <v>122</v>
      </c>
      <c r="E355" s="49" t="s">
        <v>739</v>
      </c>
      <c r="F355" s="49" t="s">
        <v>844</v>
      </c>
      <c r="G355" s="60" t="s">
        <v>847</v>
      </c>
      <c r="H355" s="61" t="s">
        <v>848</v>
      </c>
      <c r="I355" s="43" t="str">
        <f t="shared" si="26"/>
        <v>电气</v>
      </c>
      <c r="J355" s="44" t="str">
        <f t="shared" si="27"/>
        <v>电气 相序保护继电器</v>
      </c>
      <c r="K355" s="43">
        <f>COUNTIF($J$2:J355,J355)</f>
        <v>1</v>
      </c>
    </row>
    <row r="356" spans="1:11">
      <c r="A356" s="47">
        <v>351</v>
      </c>
      <c r="B356" s="47">
        <f>IF(K356=1,COUNTIF($D$2:D356,D356),"")</f>
        <v>49</v>
      </c>
      <c r="C356" s="49" t="s">
        <v>120</v>
      </c>
      <c r="D356" s="47" t="s">
        <v>122</v>
      </c>
      <c r="E356" s="49" t="s">
        <v>739</v>
      </c>
      <c r="F356" s="49" t="s">
        <v>844</v>
      </c>
      <c r="G356" s="64" t="s">
        <v>849</v>
      </c>
      <c r="H356" s="61" t="s">
        <v>850</v>
      </c>
      <c r="I356" s="43" t="str">
        <f t="shared" si="26"/>
        <v>电气</v>
      </c>
      <c r="J356" s="44" t="str">
        <f t="shared" si="27"/>
        <v>电气 电压保护继电器</v>
      </c>
      <c r="K356" s="43">
        <f>COUNTIF($J$2:J356,J356)</f>
        <v>1</v>
      </c>
    </row>
    <row r="357" spans="1:11">
      <c r="A357" s="47">
        <v>352</v>
      </c>
      <c r="B357" s="47">
        <f>IF(K357=1,COUNTIF($D$2:D357,D357),"")</f>
        <v>50</v>
      </c>
      <c r="C357" s="49" t="s">
        <v>120</v>
      </c>
      <c r="D357" s="47" t="s">
        <v>122</v>
      </c>
      <c r="E357" s="49" t="s">
        <v>739</v>
      </c>
      <c r="F357" s="49" t="s">
        <v>844</v>
      </c>
      <c r="G357" s="64" t="s">
        <v>851</v>
      </c>
      <c r="H357" s="61" t="s">
        <v>852</v>
      </c>
      <c r="I357" s="43" t="str">
        <f t="shared" si="26"/>
        <v>电气</v>
      </c>
      <c r="J357" s="44" t="str">
        <f t="shared" si="27"/>
        <v>电气 漏电保护继电器</v>
      </c>
      <c r="K357" s="43">
        <f>COUNTIF($J$2:J357,J357)</f>
        <v>1</v>
      </c>
    </row>
    <row r="358" spans="1:11">
      <c r="A358" s="47">
        <v>353</v>
      </c>
      <c r="B358" s="47">
        <f>IF(K358=1,COUNTIF($D$2:D358,D358),"")</f>
        <v>51</v>
      </c>
      <c r="C358" s="49" t="s">
        <v>120</v>
      </c>
      <c r="D358" s="47" t="s">
        <v>122</v>
      </c>
      <c r="E358" s="49" t="s">
        <v>739</v>
      </c>
      <c r="F358" s="49" t="s">
        <v>844</v>
      </c>
      <c r="G358" s="64" t="s">
        <v>853</v>
      </c>
      <c r="H358" s="61" t="s">
        <v>854</v>
      </c>
      <c r="I358" s="43" t="str">
        <f t="shared" si="26"/>
        <v>电气</v>
      </c>
      <c r="J358" s="44" t="str">
        <f t="shared" si="27"/>
        <v>电气 浪涌保护继电器</v>
      </c>
      <c r="K358" s="43">
        <f>COUNTIF($J$2:J358,J358)</f>
        <v>1</v>
      </c>
    </row>
    <row r="359" spans="1:11">
      <c r="A359" s="47">
        <v>354</v>
      </c>
      <c r="B359" s="47">
        <f>IF(K359=1,COUNTIF($D$2:D359,D359),"")</f>
        <v>52</v>
      </c>
      <c r="C359" s="49" t="s">
        <v>120</v>
      </c>
      <c r="D359" s="47" t="s">
        <v>122</v>
      </c>
      <c r="E359" s="49" t="s">
        <v>739</v>
      </c>
      <c r="F359" s="49" t="s">
        <v>844</v>
      </c>
      <c r="G359" s="60" t="s">
        <v>855</v>
      </c>
      <c r="H359" s="61" t="s">
        <v>856</v>
      </c>
      <c r="I359" s="43" t="str">
        <f t="shared" si="26"/>
        <v>电气</v>
      </c>
      <c r="J359" s="44" t="str">
        <f t="shared" si="27"/>
        <v>电气 其它保护继电器</v>
      </c>
      <c r="K359" s="43">
        <f>COUNTIF($J$2:J359,J359)</f>
        <v>1</v>
      </c>
    </row>
    <row r="360" spans="1:11">
      <c r="A360" s="47">
        <v>355</v>
      </c>
      <c r="B360" s="47">
        <f>IF(K360=1,COUNTIF($D$2:D360,D360),"")</f>
        <v>53</v>
      </c>
      <c r="C360" s="49" t="s">
        <v>120</v>
      </c>
      <c r="D360" s="47" t="s">
        <v>122</v>
      </c>
      <c r="E360" s="49" t="s">
        <v>739</v>
      </c>
      <c r="F360" s="64" t="s">
        <v>857</v>
      </c>
      <c r="G360" s="64" t="s">
        <v>858</v>
      </c>
      <c r="H360" s="61" t="s">
        <v>859</v>
      </c>
      <c r="I360" s="43" t="str">
        <f t="shared" si="26"/>
        <v>电气</v>
      </c>
      <c r="J360" s="44" t="str">
        <f t="shared" si="27"/>
        <v>电气 干式变压器</v>
      </c>
      <c r="K360" s="43">
        <f>COUNTIF($J$2:J360,J360)</f>
        <v>1</v>
      </c>
    </row>
    <row r="361" spans="1:11">
      <c r="A361" s="47">
        <v>356</v>
      </c>
      <c r="B361" s="47">
        <f>IF(K361=1,COUNTIF($D$2:D361,D361),"")</f>
        <v>54</v>
      </c>
      <c r="C361" s="49" t="s">
        <v>120</v>
      </c>
      <c r="D361" s="47" t="s">
        <v>122</v>
      </c>
      <c r="E361" s="49" t="s">
        <v>739</v>
      </c>
      <c r="F361" s="64" t="s">
        <v>857</v>
      </c>
      <c r="G361" s="64" t="s">
        <v>860</v>
      </c>
      <c r="H361" s="61" t="s">
        <v>861</v>
      </c>
      <c r="I361" s="43" t="str">
        <f t="shared" si="26"/>
        <v>电气</v>
      </c>
      <c r="J361" s="44" t="str">
        <f t="shared" si="27"/>
        <v>电气 油浸型变压器</v>
      </c>
      <c r="K361" s="43">
        <f>COUNTIF($J$2:J361,J361)</f>
        <v>1</v>
      </c>
    </row>
    <row r="362" spans="1:11">
      <c r="A362" s="47">
        <v>357</v>
      </c>
      <c r="B362" s="47">
        <f>IF(K362=1,COUNTIF($D$2:D362,D362),"")</f>
        <v>55</v>
      </c>
      <c r="C362" s="49" t="s">
        <v>120</v>
      </c>
      <c r="D362" s="47" t="s">
        <v>122</v>
      </c>
      <c r="E362" s="49" t="s">
        <v>739</v>
      </c>
      <c r="F362" s="49" t="s">
        <v>862</v>
      </c>
      <c r="G362" s="60" t="s">
        <v>863</v>
      </c>
      <c r="H362" s="61" t="s">
        <v>864</v>
      </c>
      <c r="I362" s="43" t="str">
        <f t="shared" si="26"/>
        <v>电气</v>
      </c>
      <c r="J362" s="44" t="str">
        <f t="shared" si="27"/>
        <v>电气 MCC柜</v>
      </c>
      <c r="K362" s="43">
        <f>COUNTIF($J$2:J362,J362)</f>
        <v>1</v>
      </c>
    </row>
    <row r="363" spans="1:11">
      <c r="A363" s="47">
        <v>358</v>
      </c>
      <c r="B363" s="47">
        <f>IF(K363=1,COUNTIF($D$2:D363,D363),"")</f>
        <v>56</v>
      </c>
      <c r="C363" s="49" t="s">
        <v>120</v>
      </c>
      <c r="D363" s="47" t="s">
        <v>122</v>
      </c>
      <c r="E363" s="49" t="s">
        <v>739</v>
      </c>
      <c r="F363" s="49" t="s">
        <v>862</v>
      </c>
      <c r="G363" s="60" t="s">
        <v>865</v>
      </c>
      <c r="H363" s="61" t="s">
        <v>866</v>
      </c>
      <c r="I363" s="43" t="str">
        <f t="shared" si="26"/>
        <v>电气</v>
      </c>
      <c r="J363" s="44" t="str">
        <f t="shared" si="27"/>
        <v>电气 现场控制箱</v>
      </c>
      <c r="K363" s="43">
        <f>COUNTIF($J$2:J363,J363)</f>
        <v>1</v>
      </c>
    </row>
    <row r="364" spans="1:11">
      <c r="A364" s="47">
        <v>359</v>
      </c>
      <c r="B364" s="47">
        <f>IF(K364=1,COUNTIF($D$2:D364,D364),"")</f>
        <v>57</v>
      </c>
      <c r="C364" s="49" t="s">
        <v>120</v>
      </c>
      <c r="D364" s="47" t="s">
        <v>122</v>
      </c>
      <c r="E364" s="49" t="s">
        <v>739</v>
      </c>
      <c r="F364" s="49" t="s">
        <v>867</v>
      </c>
      <c r="G364" s="60" t="s">
        <v>867</v>
      </c>
      <c r="H364" s="61" t="s">
        <v>868</v>
      </c>
      <c r="I364" s="43" t="str">
        <f t="shared" si="26"/>
        <v>电气</v>
      </c>
      <c r="J364" s="44" t="str">
        <f t="shared" si="27"/>
        <v>电气 其它低压电气类</v>
      </c>
      <c r="K364" s="43">
        <f>COUNTIF($J$2:J364,J364)</f>
        <v>1</v>
      </c>
    </row>
    <row r="365" spans="1:11">
      <c r="A365" s="47">
        <v>360</v>
      </c>
      <c r="B365" s="47">
        <f>IF(K365=1,COUNTIF($D$2:D365,D365),"")</f>
        <v>58</v>
      </c>
      <c r="C365" s="49" t="s">
        <v>120</v>
      </c>
      <c r="D365" s="47" t="s">
        <v>122</v>
      </c>
      <c r="E365" s="49" t="s">
        <v>869</v>
      </c>
      <c r="F365" s="49" t="s">
        <v>870</v>
      </c>
      <c r="G365" s="49" t="s">
        <v>871</v>
      </c>
      <c r="H365" s="47" t="s">
        <v>872</v>
      </c>
      <c r="I365" s="43" t="str">
        <f t="shared" si="26"/>
        <v>电气</v>
      </c>
      <c r="J365" s="44" t="str">
        <f t="shared" si="27"/>
        <v>电气 电源</v>
      </c>
      <c r="K365" s="43">
        <f>COUNTIF($J$2:J365,J365)</f>
        <v>1</v>
      </c>
    </row>
    <row r="366" spans="1:11">
      <c r="A366" s="47">
        <v>361</v>
      </c>
      <c r="B366" s="47">
        <f>IF(K366=1,COUNTIF($D$2:D366,D366),"")</f>
        <v>59</v>
      </c>
      <c r="C366" s="49" t="s">
        <v>120</v>
      </c>
      <c r="D366" s="47" t="s">
        <v>122</v>
      </c>
      <c r="E366" s="49" t="s">
        <v>869</v>
      </c>
      <c r="F366" s="49" t="s">
        <v>870</v>
      </c>
      <c r="G366" s="49" t="s">
        <v>873</v>
      </c>
      <c r="H366" s="47" t="s">
        <v>874</v>
      </c>
      <c r="I366" s="43" t="str">
        <f t="shared" si="26"/>
        <v>电气</v>
      </c>
      <c r="J366" s="44" t="str">
        <f t="shared" si="27"/>
        <v>电气 CPU</v>
      </c>
      <c r="K366" s="43">
        <f>COUNTIF($J$2:J366,J366)</f>
        <v>1</v>
      </c>
    </row>
    <row r="367" spans="1:11">
      <c r="A367" s="47">
        <v>362</v>
      </c>
      <c r="B367" s="47">
        <f>IF(K367=1,COUNTIF($D$2:D367,D367),"")</f>
        <v>60</v>
      </c>
      <c r="C367" s="49" t="s">
        <v>120</v>
      </c>
      <c r="D367" s="47" t="s">
        <v>122</v>
      </c>
      <c r="E367" s="49" t="s">
        <v>869</v>
      </c>
      <c r="F367" s="49" t="s">
        <v>870</v>
      </c>
      <c r="G367" s="49" t="s">
        <v>875</v>
      </c>
      <c r="H367" s="47" t="s">
        <v>876</v>
      </c>
      <c r="I367" s="43" t="str">
        <f t="shared" si="26"/>
        <v>电气</v>
      </c>
      <c r="J367" s="44" t="str">
        <f t="shared" si="27"/>
        <v>电气 导轨</v>
      </c>
      <c r="K367" s="43">
        <f>COUNTIF($J$2:J367,J367)</f>
        <v>1</v>
      </c>
    </row>
    <row r="368" spans="1:11">
      <c r="A368" s="47">
        <v>363</v>
      </c>
      <c r="B368" s="47">
        <f>IF(K368=1,COUNTIF($D$2:D368,D368),"")</f>
        <v>61</v>
      </c>
      <c r="C368" s="49" t="s">
        <v>120</v>
      </c>
      <c r="D368" s="47" t="s">
        <v>122</v>
      </c>
      <c r="E368" s="49" t="s">
        <v>869</v>
      </c>
      <c r="F368" s="49" t="s">
        <v>870</v>
      </c>
      <c r="G368" s="49" t="s">
        <v>877</v>
      </c>
      <c r="H368" s="47" t="s">
        <v>878</v>
      </c>
      <c r="I368" s="43" t="str">
        <f t="shared" si="26"/>
        <v>电气</v>
      </c>
      <c r="J368" s="44" t="str">
        <f t="shared" si="27"/>
        <v>电气 接口模块</v>
      </c>
      <c r="K368" s="43">
        <f>COUNTIF($J$2:J368,J368)</f>
        <v>1</v>
      </c>
    </row>
    <row r="369" spans="1:11">
      <c r="A369" s="47">
        <v>364</v>
      </c>
      <c r="B369" s="47">
        <f>IF(K369=1,COUNTIF($D$2:D369,D369),"")</f>
        <v>62</v>
      </c>
      <c r="C369" s="49" t="s">
        <v>120</v>
      </c>
      <c r="D369" s="47" t="s">
        <v>122</v>
      </c>
      <c r="E369" s="49" t="s">
        <v>869</v>
      </c>
      <c r="F369" s="49" t="s">
        <v>870</v>
      </c>
      <c r="G369" s="60" t="s">
        <v>879</v>
      </c>
      <c r="H369" s="47" t="s">
        <v>880</v>
      </c>
      <c r="I369" s="43" t="str">
        <f t="shared" si="26"/>
        <v>电气</v>
      </c>
      <c r="J369" s="44" t="str">
        <f t="shared" si="27"/>
        <v>电气 IO模块</v>
      </c>
      <c r="K369" s="43">
        <f>COUNTIF($J$2:J369,J369)</f>
        <v>1</v>
      </c>
    </row>
    <row r="370" spans="1:11">
      <c r="A370" s="47">
        <v>365</v>
      </c>
      <c r="B370" s="47">
        <f>IF(K370=1,COUNTIF($D$2:D370,D370),"")</f>
        <v>63</v>
      </c>
      <c r="C370" s="49" t="s">
        <v>120</v>
      </c>
      <c r="D370" s="47" t="s">
        <v>122</v>
      </c>
      <c r="E370" s="49" t="s">
        <v>869</v>
      </c>
      <c r="F370" s="49" t="s">
        <v>870</v>
      </c>
      <c r="G370" s="49" t="s">
        <v>881</v>
      </c>
      <c r="H370" s="47" t="s">
        <v>882</v>
      </c>
      <c r="I370" s="43" t="str">
        <f t="shared" si="26"/>
        <v>电气</v>
      </c>
      <c r="J370" s="44" t="str">
        <f t="shared" si="27"/>
        <v>电气 通讯模块</v>
      </c>
      <c r="K370" s="43">
        <f>COUNTIF($J$2:J370,J370)</f>
        <v>1</v>
      </c>
    </row>
    <row r="371" spans="1:11">
      <c r="A371" s="47">
        <v>366</v>
      </c>
      <c r="B371" s="47">
        <f>IF(K371=1,COUNTIF($D$2:D371,D371),"")</f>
        <v>64</v>
      </c>
      <c r="C371" s="49" t="s">
        <v>120</v>
      </c>
      <c r="D371" s="47" t="s">
        <v>122</v>
      </c>
      <c r="E371" s="49" t="s">
        <v>869</v>
      </c>
      <c r="F371" s="49" t="s">
        <v>870</v>
      </c>
      <c r="G371" s="49" t="s">
        <v>883</v>
      </c>
      <c r="H371" s="47" t="s">
        <v>884</v>
      </c>
      <c r="I371" s="43" t="str">
        <f t="shared" si="26"/>
        <v>电气</v>
      </c>
      <c r="J371" s="44" t="str">
        <f t="shared" si="27"/>
        <v>电气 交换机</v>
      </c>
      <c r="K371" s="43">
        <f>COUNTIF($J$2:J371,J371)</f>
        <v>1</v>
      </c>
    </row>
    <row r="372" spans="1:11">
      <c r="A372" s="47">
        <v>367</v>
      </c>
      <c r="B372" s="47">
        <f>IF(K372=1,COUNTIF($D$2:D372,D372),"")</f>
        <v>65</v>
      </c>
      <c r="C372" s="49" t="s">
        <v>120</v>
      </c>
      <c r="D372" s="47" t="s">
        <v>122</v>
      </c>
      <c r="E372" s="49" t="s">
        <v>869</v>
      </c>
      <c r="F372" s="49" t="s">
        <v>870</v>
      </c>
      <c r="G372" s="49" t="s">
        <v>885</v>
      </c>
      <c r="H372" s="47" t="s">
        <v>886</v>
      </c>
      <c r="I372" s="43" t="str">
        <f t="shared" si="26"/>
        <v>电气</v>
      </c>
      <c r="J372" s="44" t="str">
        <f t="shared" si="27"/>
        <v>电气 网络接头</v>
      </c>
      <c r="K372" s="43">
        <f>COUNTIF($J$2:J372,J372)</f>
        <v>1</v>
      </c>
    </row>
    <row r="373" spans="1:11">
      <c r="A373" s="47">
        <v>368</v>
      </c>
      <c r="B373" s="47">
        <f>IF(K373=1,COUNTIF($D$2:D373,D373),"")</f>
        <v>66</v>
      </c>
      <c r="C373" s="49" t="s">
        <v>120</v>
      </c>
      <c r="D373" s="47" t="s">
        <v>122</v>
      </c>
      <c r="E373" s="49" t="s">
        <v>869</v>
      </c>
      <c r="F373" s="49" t="s">
        <v>870</v>
      </c>
      <c r="G373" s="49" t="s">
        <v>887</v>
      </c>
      <c r="H373" s="47" t="s">
        <v>888</v>
      </c>
      <c r="I373" s="43" t="str">
        <f t="shared" si="26"/>
        <v>电气</v>
      </c>
      <c r="J373" s="44" t="str">
        <f t="shared" si="27"/>
        <v>电气 功能模块</v>
      </c>
      <c r="K373" s="43">
        <f>COUNTIF($J$2:J373,J373)</f>
        <v>1</v>
      </c>
    </row>
    <row r="374" spans="1:11">
      <c r="A374" s="47">
        <v>369</v>
      </c>
      <c r="B374" s="47">
        <f>IF(K374=1,COUNTIF($D$2:D374,D374),"")</f>
        <v>67</v>
      </c>
      <c r="C374" s="49" t="s">
        <v>120</v>
      </c>
      <c r="D374" s="47" t="s">
        <v>122</v>
      </c>
      <c r="E374" s="49" t="s">
        <v>869</v>
      </c>
      <c r="F374" s="49" t="s">
        <v>870</v>
      </c>
      <c r="G374" s="49" t="s">
        <v>889</v>
      </c>
      <c r="H374" s="47" t="s">
        <v>890</v>
      </c>
      <c r="I374" s="43" t="str">
        <f t="shared" si="26"/>
        <v>电气</v>
      </c>
      <c r="J374" s="44" t="str">
        <f t="shared" si="27"/>
        <v>电气 通讯电缆</v>
      </c>
      <c r="K374" s="43">
        <f>COUNTIF($J$2:J374,J374)</f>
        <v>1</v>
      </c>
    </row>
    <row r="375" spans="1:11">
      <c r="A375" s="47">
        <v>370</v>
      </c>
      <c r="B375" s="47">
        <f>IF(K375=1,COUNTIF($D$2:D375,D375),"")</f>
        <v>68</v>
      </c>
      <c r="C375" s="49" t="s">
        <v>120</v>
      </c>
      <c r="D375" s="47" t="s">
        <v>122</v>
      </c>
      <c r="E375" s="49" t="s">
        <v>869</v>
      </c>
      <c r="F375" s="49" t="s">
        <v>870</v>
      </c>
      <c r="G375" s="49" t="s">
        <v>891</v>
      </c>
      <c r="H375" s="47" t="s">
        <v>892</v>
      </c>
      <c r="I375" s="43" t="str">
        <f t="shared" si="26"/>
        <v>电气</v>
      </c>
      <c r="J375" s="44" t="str">
        <f t="shared" si="27"/>
        <v>电气 控制软件及授权</v>
      </c>
      <c r="K375" s="43">
        <f>COUNTIF($J$2:J375,J375)</f>
        <v>1</v>
      </c>
    </row>
    <row r="376" spans="1:11">
      <c r="A376" s="47">
        <v>371</v>
      </c>
      <c r="B376" s="47">
        <f>IF(K376=1,COUNTIF($D$2:D376,D376),"")</f>
        <v>69</v>
      </c>
      <c r="C376" s="49" t="s">
        <v>120</v>
      </c>
      <c r="D376" s="47" t="s">
        <v>122</v>
      </c>
      <c r="E376" s="49" t="s">
        <v>869</v>
      </c>
      <c r="F376" s="49" t="s">
        <v>870</v>
      </c>
      <c r="G376" s="49" t="s">
        <v>893</v>
      </c>
      <c r="H376" s="47" t="s">
        <v>894</v>
      </c>
      <c r="I376" s="43" t="str">
        <f t="shared" si="26"/>
        <v>电气</v>
      </c>
      <c r="J376" s="44" t="str">
        <f t="shared" si="27"/>
        <v>电气 触摸屏</v>
      </c>
      <c r="K376" s="43">
        <f>COUNTIF($J$2:J376,J376)</f>
        <v>1</v>
      </c>
    </row>
    <row r="377" spans="1:11">
      <c r="A377" s="47">
        <v>372</v>
      </c>
      <c r="B377" s="47">
        <f>IF(K377=1,COUNTIF($D$2:D377,D377),"")</f>
        <v>70</v>
      </c>
      <c r="C377" s="49" t="s">
        <v>120</v>
      </c>
      <c r="D377" s="47" t="s">
        <v>122</v>
      </c>
      <c r="E377" s="49" t="s">
        <v>869</v>
      </c>
      <c r="F377" s="49" t="s">
        <v>870</v>
      </c>
      <c r="G377" s="49" t="s">
        <v>895</v>
      </c>
      <c r="H377" s="47" t="s">
        <v>896</v>
      </c>
      <c r="I377" s="43" t="str">
        <f t="shared" si="26"/>
        <v>电气</v>
      </c>
      <c r="J377" s="44" t="str">
        <f t="shared" si="27"/>
        <v>电气 网关</v>
      </c>
      <c r="K377" s="43">
        <f>COUNTIF($J$2:J377,J377)</f>
        <v>1</v>
      </c>
    </row>
    <row r="378" spans="1:10">
      <c r="A378" s="47"/>
      <c r="B378" s="47"/>
      <c r="C378" s="49" t="s">
        <v>120</v>
      </c>
      <c r="D378" s="47" t="s">
        <v>122</v>
      </c>
      <c r="E378" s="49" t="s">
        <v>869</v>
      </c>
      <c r="F378" s="49" t="s">
        <v>870</v>
      </c>
      <c r="G378" s="65" t="s">
        <v>897</v>
      </c>
      <c r="H378" s="58" t="s">
        <v>898</v>
      </c>
      <c r="I378" s="43" t="str">
        <f t="shared" ref="I378" si="28">IF(COUNTA(C378)=1,C378,I377)</f>
        <v>电气</v>
      </c>
      <c r="J378" s="44" t="str">
        <f t="shared" ref="J378" si="29">CONCATENATE(I378," ",G378)</f>
        <v>电气 前连接器</v>
      </c>
    </row>
    <row r="379" spans="1:10">
      <c r="A379" s="47"/>
      <c r="B379" s="47"/>
      <c r="C379" s="49" t="s">
        <v>120</v>
      </c>
      <c r="D379" s="47" t="s">
        <v>122</v>
      </c>
      <c r="E379" s="49" t="s">
        <v>869</v>
      </c>
      <c r="F379" s="49" t="s">
        <v>870</v>
      </c>
      <c r="G379" s="65" t="s">
        <v>899</v>
      </c>
      <c r="H379" s="58" t="s">
        <v>900</v>
      </c>
      <c r="I379" s="43" t="str">
        <f t="shared" ref="I379" si="30">IF(COUNTA(C379)=1,C379,I378)</f>
        <v>电气</v>
      </c>
      <c r="J379" s="44" t="str">
        <f t="shared" ref="J379" si="31">CONCATENATE(I379," ",G379)</f>
        <v>电气 CPU存储卡及电池</v>
      </c>
    </row>
    <row r="380" spans="1:10">
      <c r="A380" s="47"/>
      <c r="B380" s="47"/>
      <c r="C380" s="49" t="s">
        <v>120</v>
      </c>
      <c r="D380" s="47" t="s">
        <v>122</v>
      </c>
      <c r="E380" s="49" t="s">
        <v>869</v>
      </c>
      <c r="F380" s="49" t="s">
        <v>870</v>
      </c>
      <c r="G380" s="65" t="s">
        <v>901</v>
      </c>
      <c r="H380" s="58" t="s">
        <v>902</v>
      </c>
      <c r="I380" s="43" t="str">
        <f t="shared" ref="I380" si="32">IF(COUNTA(C380)=1,C380,I379)</f>
        <v>电气</v>
      </c>
      <c r="J380" s="44" t="str">
        <f t="shared" ref="J380" si="33">CONCATENATE(I380," ",G380)</f>
        <v>电气 PLC其他</v>
      </c>
    </row>
    <row r="381" spans="1:11">
      <c r="A381" s="47">
        <v>373</v>
      </c>
      <c r="B381" s="47">
        <f>IF(K381=1,COUNTIF($D$2:D381,D381),"")</f>
        <v>74</v>
      </c>
      <c r="C381" s="49" t="s">
        <v>120</v>
      </c>
      <c r="D381" s="47" t="s">
        <v>122</v>
      </c>
      <c r="E381" s="49" t="s">
        <v>869</v>
      </c>
      <c r="F381" s="49" t="s">
        <v>903</v>
      </c>
      <c r="G381" s="49" t="s">
        <v>904</v>
      </c>
      <c r="H381" s="47" t="s">
        <v>905</v>
      </c>
      <c r="I381" s="43" t="str">
        <f>IF(COUNTA(C381)=1,C381,I377)</f>
        <v>电气</v>
      </c>
      <c r="J381" s="44" t="str">
        <f t="shared" si="27"/>
        <v>电气 光缆</v>
      </c>
      <c r="K381" s="43">
        <f>COUNTIF($J$2:J381,J381)</f>
        <v>1</v>
      </c>
    </row>
    <row r="382" spans="1:11">
      <c r="A382" s="47">
        <v>374</v>
      </c>
      <c r="B382" s="47">
        <f>IF(K382=1,COUNTIF($D$2:D382,D382),"")</f>
        <v>75</v>
      </c>
      <c r="C382" s="49" t="s">
        <v>120</v>
      </c>
      <c r="D382" s="47" t="s">
        <v>122</v>
      </c>
      <c r="E382" s="49" t="s">
        <v>869</v>
      </c>
      <c r="F382" s="49" t="s">
        <v>903</v>
      </c>
      <c r="G382" s="49" t="s">
        <v>906</v>
      </c>
      <c r="H382" s="47" t="s">
        <v>907</v>
      </c>
      <c r="I382" s="43" t="str">
        <f t="shared" si="26"/>
        <v>电气</v>
      </c>
      <c r="J382" s="44" t="str">
        <f t="shared" si="27"/>
        <v>电气 光纤交换机</v>
      </c>
      <c r="K382" s="43">
        <f>COUNTIF($J$2:J382,J382)</f>
        <v>1</v>
      </c>
    </row>
    <row r="383" spans="1:11">
      <c r="A383" s="47">
        <v>375</v>
      </c>
      <c r="B383" s="47">
        <f>IF(K383=1,COUNTIF($D$2:D383,D383),"")</f>
        <v>76</v>
      </c>
      <c r="C383" s="49" t="s">
        <v>120</v>
      </c>
      <c r="D383" s="47" t="s">
        <v>122</v>
      </c>
      <c r="E383" s="49" t="s">
        <v>869</v>
      </c>
      <c r="F383" s="49" t="s">
        <v>903</v>
      </c>
      <c r="G383" s="49" t="s">
        <v>908</v>
      </c>
      <c r="H383" s="47" t="s">
        <v>909</v>
      </c>
      <c r="I383" s="43" t="str">
        <f t="shared" si="26"/>
        <v>电气</v>
      </c>
      <c r="J383" s="44" t="str">
        <f t="shared" si="27"/>
        <v>电气 光纤收发器</v>
      </c>
      <c r="K383" s="43">
        <f>COUNTIF($J$2:J383,J383)</f>
        <v>1</v>
      </c>
    </row>
    <row r="384" spans="1:11">
      <c r="A384" s="47">
        <v>376</v>
      </c>
      <c r="B384" s="47">
        <f>IF(K384=1,COUNTIF($D$2:D384,D384),"")</f>
        <v>77</v>
      </c>
      <c r="C384" s="49" t="s">
        <v>120</v>
      </c>
      <c r="D384" s="47" t="s">
        <v>122</v>
      </c>
      <c r="E384" s="49" t="s">
        <v>869</v>
      </c>
      <c r="F384" s="49" t="s">
        <v>910</v>
      </c>
      <c r="G384" s="49" t="s">
        <v>911</v>
      </c>
      <c r="H384" s="47" t="s">
        <v>912</v>
      </c>
      <c r="I384" s="43" t="str">
        <f t="shared" si="26"/>
        <v>电气</v>
      </c>
      <c r="J384" s="44" t="str">
        <f t="shared" si="27"/>
        <v>电气 商务计算机</v>
      </c>
      <c r="K384" s="43">
        <f>COUNTIF($J$2:J384,J384)</f>
        <v>1</v>
      </c>
    </row>
    <row r="385" spans="1:11">
      <c r="A385" s="47">
        <v>377</v>
      </c>
      <c r="B385" s="47">
        <f>IF(K385=1,COUNTIF($D$2:D385,D385),"")</f>
        <v>78</v>
      </c>
      <c r="C385" s="49" t="s">
        <v>120</v>
      </c>
      <c r="D385" s="47" t="s">
        <v>122</v>
      </c>
      <c r="E385" s="49" t="s">
        <v>869</v>
      </c>
      <c r="F385" s="49" t="s">
        <v>910</v>
      </c>
      <c r="G385" s="49" t="s">
        <v>913</v>
      </c>
      <c r="H385" s="47" t="s">
        <v>914</v>
      </c>
      <c r="I385" s="43" t="str">
        <f t="shared" si="26"/>
        <v>电气</v>
      </c>
      <c r="J385" s="44" t="str">
        <f t="shared" si="27"/>
        <v>电气 工业计算机</v>
      </c>
      <c r="K385" s="43">
        <f>COUNTIF($J$2:J385,J385)</f>
        <v>1</v>
      </c>
    </row>
    <row r="386" spans="1:11">
      <c r="A386" s="47">
        <v>378</v>
      </c>
      <c r="B386" s="47">
        <f>IF(K386=1,COUNTIF($D$2:D386,D386),"")</f>
        <v>79</v>
      </c>
      <c r="C386" s="49" t="s">
        <v>120</v>
      </c>
      <c r="D386" s="47" t="s">
        <v>122</v>
      </c>
      <c r="E386" s="49" t="s">
        <v>869</v>
      </c>
      <c r="F386" s="49" t="s">
        <v>915</v>
      </c>
      <c r="G386" s="49" t="s">
        <v>916</v>
      </c>
      <c r="H386" s="47" t="s">
        <v>917</v>
      </c>
      <c r="I386" s="43" t="str">
        <f t="shared" si="26"/>
        <v>电气</v>
      </c>
      <c r="J386" s="44" t="str">
        <f t="shared" si="27"/>
        <v>电气 操作系统</v>
      </c>
      <c r="K386" s="43">
        <f>COUNTIF($J$2:J386,J386)</f>
        <v>1</v>
      </c>
    </row>
    <row r="387" spans="1:11">
      <c r="A387" s="47">
        <v>379</v>
      </c>
      <c r="B387" s="47">
        <f>IF(K387=1,COUNTIF($D$2:D387,D387),"")</f>
        <v>80</v>
      </c>
      <c r="C387" s="49" t="s">
        <v>120</v>
      </c>
      <c r="D387" s="47" t="s">
        <v>122</v>
      </c>
      <c r="E387" s="49" t="s">
        <v>869</v>
      </c>
      <c r="F387" s="49" t="s">
        <v>918</v>
      </c>
      <c r="G387" s="49" t="s">
        <v>919</v>
      </c>
      <c r="H387" s="47" t="s">
        <v>920</v>
      </c>
      <c r="I387" s="43" t="str">
        <f t="shared" si="26"/>
        <v>电气</v>
      </c>
      <c r="J387" s="44" t="str">
        <f t="shared" si="27"/>
        <v>电气 鼠标</v>
      </c>
      <c r="K387" s="43">
        <f>COUNTIF($J$2:J387,J387)</f>
        <v>1</v>
      </c>
    </row>
    <row r="388" spans="1:11">
      <c r="A388" s="47">
        <v>380</v>
      </c>
      <c r="B388" s="47">
        <f>IF(K388=1,COUNTIF($D$2:D388,D388),"")</f>
        <v>81</v>
      </c>
      <c r="C388" s="49" t="s">
        <v>120</v>
      </c>
      <c r="D388" s="47" t="s">
        <v>122</v>
      </c>
      <c r="E388" s="49" t="s">
        <v>869</v>
      </c>
      <c r="F388" s="49" t="s">
        <v>918</v>
      </c>
      <c r="G388" s="49" t="s">
        <v>921</v>
      </c>
      <c r="H388" s="47" t="s">
        <v>922</v>
      </c>
      <c r="I388" s="43" t="str">
        <f t="shared" si="26"/>
        <v>电气</v>
      </c>
      <c r="J388" s="44" t="str">
        <f t="shared" si="27"/>
        <v>电气 键盘</v>
      </c>
      <c r="K388" s="43">
        <f>COUNTIF($J$2:J388,J388)</f>
        <v>1</v>
      </c>
    </row>
    <row r="389" spans="1:11">
      <c r="A389" s="47">
        <v>381</v>
      </c>
      <c r="B389" s="47">
        <f>IF(K389=1,COUNTIF($D$2:D389,D389),"")</f>
        <v>82</v>
      </c>
      <c r="C389" s="49" t="s">
        <v>120</v>
      </c>
      <c r="D389" s="47" t="s">
        <v>122</v>
      </c>
      <c r="E389" s="49" t="s">
        <v>869</v>
      </c>
      <c r="F389" s="49" t="s">
        <v>918</v>
      </c>
      <c r="G389" s="49" t="s">
        <v>923</v>
      </c>
      <c r="H389" s="47" t="s">
        <v>924</v>
      </c>
      <c r="I389" s="43" t="str">
        <f t="shared" si="26"/>
        <v>电气</v>
      </c>
      <c r="J389" s="44" t="str">
        <f t="shared" si="27"/>
        <v>电气 连接线</v>
      </c>
      <c r="K389" s="43">
        <f>COUNTIF($J$2:J389,J389)</f>
        <v>1</v>
      </c>
    </row>
    <row r="390" spans="1:11">
      <c r="A390" s="47">
        <v>382</v>
      </c>
      <c r="B390" s="47">
        <f>IF(K390=1,COUNTIF($D$2:D390,D390),"")</f>
        <v>83</v>
      </c>
      <c r="C390" s="49" t="s">
        <v>120</v>
      </c>
      <c r="D390" s="47" t="s">
        <v>122</v>
      </c>
      <c r="E390" s="49" t="s">
        <v>869</v>
      </c>
      <c r="F390" s="49" t="s">
        <v>918</v>
      </c>
      <c r="G390" s="49" t="s">
        <v>925</v>
      </c>
      <c r="H390" s="47" t="s">
        <v>926</v>
      </c>
      <c r="I390" s="43" t="str">
        <f t="shared" si="26"/>
        <v>电气</v>
      </c>
      <c r="J390" s="44" t="str">
        <f t="shared" si="27"/>
        <v>电气 网卡</v>
      </c>
      <c r="K390" s="43">
        <f>COUNTIF($J$2:J390,J390)</f>
        <v>1</v>
      </c>
    </row>
    <row r="391" spans="1:11">
      <c r="A391" s="47">
        <v>383</v>
      </c>
      <c r="B391" s="47">
        <f>IF(K391=1,COUNTIF($D$2:D391,D391),"")</f>
        <v>84</v>
      </c>
      <c r="C391" s="49" t="s">
        <v>120</v>
      </c>
      <c r="D391" s="47" t="s">
        <v>122</v>
      </c>
      <c r="E391" s="49" t="s">
        <v>869</v>
      </c>
      <c r="F391" s="49" t="s">
        <v>918</v>
      </c>
      <c r="G391" s="49" t="s">
        <v>927</v>
      </c>
      <c r="H391" s="47" t="s">
        <v>928</v>
      </c>
      <c r="I391" s="43" t="str">
        <f t="shared" si="26"/>
        <v>电气</v>
      </c>
      <c r="J391" s="44" t="str">
        <f t="shared" si="27"/>
        <v>电气 内存</v>
      </c>
      <c r="K391" s="43">
        <f>COUNTIF($J$2:J391,J391)</f>
        <v>1</v>
      </c>
    </row>
    <row r="392" spans="1:11">
      <c r="A392" s="47">
        <v>384</v>
      </c>
      <c r="B392" s="47">
        <f>IF(K392=1,COUNTIF($D$2:D392,D392),"")</f>
        <v>85</v>
      </c>
      <c r="C392" s="49" t="s">
        <v>120</v>
      </c>
      <c r="D392" s="47" t="s">
        <v>122</v>
      </c>
      <c r="E392" s="49" t="s">
        <v>869</v>
      </c>
      <c r="F392" s="49" t="s">
        <v>918</v>
      </c>
      <c r="G392" s="49" t="s">
        <v>929</v>
      </c>
      <c r="H392" s="47" t="s">
        <v>930</v>
      </c>
      <c r="I392" s="43" t="str">
        <f t="shared" si="26"/>
        <v>电气</v>
      </c>
      <c r="J392" s="44" t="str">
        <f t="shared" si="27"/>
        <v>电气 硬盘</v>
      </c>
      <c r="K392" s="43">
        <f>COUNTIF($J$2:J392,J392)</f>
        <v>1</v>
      </c>
    </row>
    <row r="393" spans="1:11">
      <c r="A393" s="47">
        <v>385</v>
      </c>
      <c r="B393" s="47">
        <f>IF(K393=1,COUNTIF($D$2:D393,D393),"")</f>
        <v>86</v>
      </c>
      <c r="C393" s="49" t="s">
        <v>120</v>
      </c>
      <c r="D393" s="47" t="s">
        <v>122</v>
      </c>
      <c r="E393" s="49" t="s">
        <v>869</v>
      </c>
      <c r="F393" s="49" t="s">
        <v>918</v>
      </c>
      <c r="G393" s="49" t="s">
        <v>931</v>
      </c>
      <c r="H393" s="47" t="s">
        <v>932</v>
      </c>
      <c r="I393" s="43" t="str">
        <f t="shared" si="26"/>
        <v>电气</v>
      </c>
      <c r="J393" s="44" t="str">
        <f t="shared" si="27"/>
        <v>电气 显卡</v>
      </c>
      <c r="K393" s="43">
        <f>COUNTIF($J$2:J393,J393)</f>
        <v>1</v>
      </c>
    </row>
    <row r="394" spans="1:11">
      <c r="A394" s="47">
        <v>386</v>
      </c>
      <c r="B394" s="47">
        <f>IF(K394=1,COUNTIF($D$2:D394,D394),"")</f>
        <v>87</v>
      </c>
      <c r="C394" s="49" t="s">
        <v>120</v>
      </c>
      <c r="D394" s="47" t="s">
        <v>122</v>
      </c>
      <c r="E394" s="49" t="s">
        <v>869</v>
      </c>
      <c r="F394" s="49" t="s">
        <v>933</v>
      </c>
      <c r="G394" s="49" t="s">
        <v>934</v>
      </c>
      <c r="H394" s="47" t="s">
        <v>935</v>
      </c>
      <c r="I394" s="43" t="str">
        <f t="shared" si="26"/>
        <v>电气</v>
      </c>
      <c r="J394" s="44" t="str">
        <f t="shared" si="27"/>
        <v>电气 液晶显示器</v>
      </c>
      <c r="K394" s="43">
        <f>COUNTIF($J$2:J394,J394)</f>
        <v>1</v>
      </c>
    </row>
    <row r="395" spans="1:11">
      <c r="A395" s="47">
        <v>387</v>
      </c>
      <c r="B395" s="47">
        <f>IF(K395=1,COUNTIF($D$2:D395,D395),"")</f>
        <v>88</v>
      </c>
      <c r="C395" s="49" t="s">
        <v>120</v>
      </c>
      <c r="D395" s="47" t="s">
        <v>122</v>
      </c>
      <c r="E395" s="49" t="s">
        <v>869</v>
      </c>
      <c r="F395" s="49" t="s">
        <v>936</v>
      </c>
      <c r="G395" s="49" t="s">
        <v>936</v>
      </c>
      <c r="H395" s="47" t="s">
        <v>937</v>
      </c>
      <c r="I395" s="43" t="str">
        <f t="shared" si="26"/>
        <v>电气</v>
      </c>
      <c r="J395" s="44" t="str">
        <f t="shared" si="27"/>
        <v>电气 音箱</v>
      </c>
      <c r="K395" s="43">
        <f>COUNTIF($J$2:J395,J395)</f>
        <v>1</v>
      </c>
    </row>
    <row r="396" spans="1:11">
      <c r="A396" s="47">
        <v>388</v>
      </c>
      <c r="B396" s="47">
        <f>IF(K396=1,COUNTIF($D$2:D396,D396),"")</f>
        <v>89</v>
      </c>
      <c r="C396" s="49" t="s">
        <v>120</v>
      </c>
      <c r="D396" s="47" t="s">
        <v>122</v>
      </c>
      <c r="E396" s="49" t="s">
        <v>869</v>
      </c>
      <c r="F396" s="49" t="s">
        <v>938</v>
      </c>
      <c r="G396" s="49" t="s">
        <v>939</v>
      </c>
      <c r="H396" s="47" t="s">
        <v>940</v>
      </c>
      <c r="I396" s="43" t="str">
        <f t="shared" si="26"/>
        <v>电气</v>
      </c>
      <c r="J396" s="44" t="str">
        <f t="shared" si="27"/>
        <v>电气 A3打印机</v>
      </c>
      <c r="K396" s="43">
        <f>COUNTIF($J$2:J396,J396)</f>
        <v>1</v>
      </c>
    </row>
    <row r="397" spans="1:11">
      <c r="A397" s="47">
        <v>389</v>
      </c>
      <c r="B397" s="47">
        <f>IF(K397=1,COUNTIF($D$2:D397,D397),"")</f>
        <v>90</v>
      </c>
      <c r="C397" s="49" t="s">
        <v>120</v>
      </c>
      <c r="D397" s="47" t="s">
        <v>122</v>
      </c>
      <c r="E397" s="49" t="s">
        <v>869</v>
      </c>
      <c r="F397" s="49" t="s">
        <v>938</v>
      </c>
      <c r="G397" s="49" t="s">
        <v>941</v>
      </c>
      <c r="H397" s="47" t="s">
        <v>942</v>
      </c>
      <c r="I397" s="43" t="str">
        <f t="shared" si="26"/>
        <v>电气</v>
      </c>
      <c r="J397" s="44" t="str">
        <f t="shared" si="27"/>
        <v>电气 A4打印机</v>
      </c>
      <c r="K397" s="43">
        <f>COUNTIF($J$2:J397,J397)</f>
        <v>1</v>
      </c>
    </row>
    <row r="398" spans="1:11">
      <c r="A398" s="47">
        <v>390</v>
      </c>
      <c r="B398" s="47">
        <f>IF(K398=1,COUNTIF($D$2:D398,D398),"")</f>
        <v>91</v>
      </c>
      <c r="C398" s="49" t="s">
        <v>120</v>
      </c>
      <c r="D398" s="47" t="s">
        <v>122</v>
      </c>
      <c r="E398" s="49" t="s">
        <v>869</v>
      </c>
      <c r="F398" s="49" t="s">
        <v>943</v>
      </c>
      <c r="G398" s="49" t="s">
        <v>944</v>
      </c>
      <c r="H398" s="47" t="s">
        <v>945</v>
      </c>
      <c r="I398" s="43" t="str">
        <f t="shared" si="26"/>
        <v>电气</v>
      </c>
      <c r="J398" s="44" t="str">
        <f t="shared" si="27"/>
        <v>电气 标准操作台</v>
      </c>
      <c r="K398" s="43">
        <f>COUNTIF($J$2:J398,J398)</f>
        <v>1</v>
      </c>
    </row>
    <row r="399" spans="1:11">
      <c r="A399" s="47">
        <v>391</v>
      </c>
      <c r="B399" s="47">
        <f>IF(K399=1,COUNTIF($D$2:D399,D399),"")</f>
        <v>92</v>
      </c>
      <c r="C399" s="49" t="s">
        <v>120</v>
      </c>
      <c r="D399" s="47" t="s">
        <v>122</v>
      </c>
      <c r="E399" s="49" t="s">
        <v>869</v>
      </c>
      <c r="F399" s="49" t="s">
        <v>943</v>
      </c>
      <c r="G399" s="64" t="s">
        <v>946</v>
      </c>
      <c r="H399" s="66" t="s">
        <v>947</v>
      </c>
      <c r="I399" s="43" t="str">
        <f t="shared" si="26"/>
        <v>电气</v>
      </c>
      <c r="J399" s="44" t="str">
        <f t="shared" si="27"/>
        <v>电气 定制操作台</v>
      </c>
      <c r="K399" s="43">
        <f>COUNTIF($J$2:J399,J399)</f>
        <v>1</v>
      </c>
    </row>
    <row r="400" spans="1:11">
      <c r="A400" s="47">
        <v>392</v>
      </c>
      <c r="B400" s="47">
        <f>IF(K400=1,COUNTIF($D$2:D400,D400),"")</f>
        <v>93</v>
      </c>
      <c r="C400" s="49" t="s">
        <v>120</v>
      </c>
      <c r="D400" s="47" t="s">
        <v>122</v>
      </c>
      <c r="E400" s="49" t="s">
        <v>869</v>
      </c>
      <c r="F400" s="49" t="s">
        <v>948</v>
      </c>
      <c r="G400" s="49" t="s">
        <v>949</v>
      </c>
      <c r="H400" s="47" t="s">
        <v>950</v>
      </c>
      <c r="I400" s="43" t="str">
        <f t="shared" si="26"/>
        <v>电气</v>
      </c>
      <c r="J400" s="44" t="str">
        <f t="shared" si="27"/>
        <v>电气 UPS工业电源</v>
      </c>
      <c r="K400" s="43">
        <f>COUNTIF($J$2:J400,J400)</f>
        <v>1</v>
      </c>
    </row>
    <row r="401" spans="1:11">
      <c r="A401" s="47">
        <v>393</v>
      </c>
      <c r="B401" s="47">
        <f>IF(K401=1,COUNTIF($D$2:D401,D401),"")</f>
        <v>94</v>
      </c>
      <c r="C401" s="49" t="s">
        <v>120</v>
      </c>
      <c r="D401" s="47" t="s">
        <v>122</v>
      </c>
      <c r="E401" s="49" t="s">
        <v>869</v>
      </c>
      <c r="F401" s="49" t="s">
        <v>951</v>
      </c>
      <c r="G401" s="49" t="s">
        <v>952</v>
      </c>
      <c r="H401" s="47" t="s">
        <v>953</v>
      </c>
      <c r="I401" s="43" t="str">
        <f t="shared" si="26"/>
        <v>电气</v>
      </c>
      <c r="J401" s="44" t="str">
        <f t="shared" si="27"/>
        <v>电气 工控机柜</v>
      </c>
      <c r="K401" s="43">
        <f>COUNTIF($J$2:J401,J401)</f>
        <v>1</v>
      </c>
    </row>
    <row r="402" spans="1:11">
      <c r="A402" s="47">
        <v>394</v>
      </c>
      <c r="B402" s="47">
        <f>IF(K402=1,COUNTIF($D$2:D402,D402),"")</f>
        <v>95</v>
      </c>
      <c r="C402" s="49" t="s">
        <v>120</v>
      </c>
      <c r="D402" s="47" t="s">
        <v>122</v>
      </c>
      <c r="E402" s="49" t="s">
        <v>869</v>
      </c>
      <c r="F402" s="49" t="s">
        <v>951</v>
      </c>
      <c r="G402" s="49" t="s">
        <v>954</v>
      </c>
      <c r="H402" s="47" t="s">
        <v>955</v>
      </c>
      <c r="I402" s="43" t="str">
        <f t="shared" si="26"/>
        <v>电气</v>
      </c>
      <c r="J402" s="44" t="str">
        <f t="shared" si="27"/>
        <v>电气 小型工控箱</v>
      </c>
      <c r="K402" s="43">
        <f>COUNTIF($J$2:J402,J402)</f>
        <v>1</v>
      </c>
    </row>
    <row r="403" spans="1:11">
      <c r="A403" s="47">
        <v>395</v>
      </c>
      <c r="B403" s="47">
        <f>IF(K403=1,COUNTIF($D$2:D403,D403),"")</f>
        <v>96</v>
      </c>
      <c r="C403" s="49" t="s">
        <v>120</v>
      </c>
      <c r="D403" s="47" t="s">
        <v>122</v>
      </c>
      <c r="E403" s="49" t="s">
        <v>956</v>
      </c>
      <c r="F403" s="49" t="s">
        <v>957</v>
      </c>
      <c r="G403" s="49" t="s">
        <v>958</v>
      </c>
      <c r="H403" s="47" t="s">
        <v>959</v>
      </c>
      <c r="I403" s="43" t="str">
        <f t="shared" si="26"/>
        <v>电气</v>
      </c>
      <c r="J403" s="44" t="str">
        <f t="shared" si="27"/>
        <v>电气 动力电缆</v>
      </c>
      <c r="K403" s="43">
        <f>COUNTIF($J$2:J403,J403)</f>
        <v>1</v>
      </c>
    </row>
    <row r="404" spans="1:11">
      <c r="A404" s="47">
        <v>396</v>
      </c>
      <c r="B404" s="47">
        <f>IF(K404=1,COUNTIF($D$2:D404,D404),"")</f>
        <v>97</v>
      </c>
      <c r="C404" s="49" t="s">
        <v>120</v>
      </c>
      <c r="D404" s="47" t="s">
        <v>122</v>
      </c>
      <c r="E404" s="49" t="s">
        <v>956</v>
      </c>
      <c r="F404" s="49" t="s">
        <v>957</v>
      </c>
      <c r="G404" s="49" t="s">
        <v>960</v>
      </c>
      <c r="H404" s="47" t="s">
        <v>961</v>
      </c>
      <c r="I404" s="43" t="str">
        <f t="shared" si="26"/>
        <v>电气</v>
      </c>
      <c r="J404" s="44" t="str">
        <f t="shared" si="27"/>
        <v>电气 信号电缆</v>
      </c>
      <c r="K404" s="43">
        <f>COUNTIF($J$2:J404,J404)</f>
        <v>1</v>
      </c>
    </row>
    <row r="405" spans="1:11">
      <c r="A405" s="47">
        <v>397</v>
      </c>
      <c r="B405" s="47">
        <f>IF(K405=1,COUNTIF($D$2:D405,D405),"")</f>
        <v>98</v>
      </c>
      <c r="C405" s="49" t="s">
        <v>120</v>
      </c>
      <c r="D405" s="47" t="s">
        <v>122</v>
      </c>
      <c r="E405" s="49" t="s">
        <v>956</v>
      </c>
      <c r="F405" s="49" t="s">
        <v>957</v>
      </c>
      <c r="G405" s="49" t="s">
        <v>962</v>
      </c>
      <c r="H405" s="47" t="s">
        <v>963</v>
      </c>
      <c r="I405" s="43" t="str">
        <f t="shared" si="26"/>
        <v>电气</v>
      </c>
      <c r="J405" s="44" t="str">
        <f t="shared" si="27"/>
        <v>电气 高压电缆</v>
      </c>
      <c r="K405" s="43">
        <f>COUNTIF($J$2:J405,J405)</f>
        <v>1</v>
      </c>
    </row>
    <row r="406" spans="1:11">
      <c r="A406" s="47">
        <v>398</v>
      </c>
      <c r="B406" s="47">
        <f>IF(K406=1,COUNTIF($D$2:D406,D406),"")</f>
        <v>99</v>
      </c>
      <c r="C406" s="49" t="s">
        <v>120</v>
      </c>
      <c r="D406" s="47" t="s">
        <v>122</v>
      </c>
      <c r="E406" s="49" t="s">
        <v>956</v>
      </c>
      <c r="F406" s="49" t="s">
        <v>964</v>
      </c>
      <c r="G406" s="49" t="s">
        <v>965</v>
      </c>
      <c r="H406" s="47" t="s">
        <v>966</v>
      </c>
      <c r="I406" s="43" t="str">
        <f t="shared" si="26"/>
        <v>电气</v>
      </c>
      <c r="J406" s="44" t="str">
        <f t="shared" si="27"/>
        <v>电气 直通</v>
      </c>
      <c r="K406" s="43">
        <f>COUNTIF($J$2:J406,J406)</f>
        <v>1</v>
      </c>
    </row>
    <row r="407" spans="1:11">
      <c r="A407" s="47">
        <v>399</v>
      </c>
      <c r="B407" s="47">
        <f>IF(K407=1,COUNTIF($D$2:D407,D407),"")</f>
        <v>100</v>
      </c>
      <c r="C407" s="49" t="s">
        <v>120</v>
      </c>
      <c r="D407" s="47" t="s">
        <v>122</v>
      </c>
      <c r="E407" s="49" t="s">
        <v>956</v>
      </c>
      <c r="F407" s="49" t="s">
        <v>964</v>
      </c>
      <c r="G407" s="49" t="s">
        <v>967</v>
      </c>
      <c r="H407" s="47" t="s">
        <v>968</v>
      </c>
      <c r="I407" s="43" t="str">
        <f t="shared" si="26"/>
        <v>电气</v>
      </c>
      <c r="J407" s="44" t="str">
        <f t="shared" si="27"/>
        <v>电气 弯头</v>
      </c>
      <c r="K407" s="43">
        <f>COUNTIF($J$2:J407,J407)</f>
        <v>1</v>
      </c>
    </row>
    <row r="408" spans="1:11">
      <c r="A408" s="47">
        <v>400</v>
      </c>
      <c r="B408" s="47">
        <f>IF(K408=1,COUNTIF($D$2:D408,D408),"")</f>
        <v>101</v>
      </c>
      <c r="C408" s="49" t="s">
        <v>120</v>
      </c>
      <c r="D408" s="47" t="s">
        <v>122</v>
      </c>
      <c r="E408" s="49" t="s">
        <v>956</v>
      </c>
      <c r="F408" s="49" t="s">
        <v>964</v>
      </c>
      <c r="G408" s="49" t="s">
        <v>969</v>
      </c>
      <c r="H408" s="47" t="s">
        <v>970</v>
      </c>
      <c r="I408" s="43" t="str">
        <f t="shared" si="26"/>
        <v>电气</v>
      </c>
      <c r="J408" s="44" t="str">
        <f t="shared" si="27"/>
        <v>电气 变径</v>
      </c>
      <c r="K408" s="43">
        <f>COUNTIF($J$2:J408,J408)</f>
        <v>1</v>
      </c>
    </row>
    <row r="409" spans="1:11">
      <c r="A409" s="47">
        <v>401</v>
      </c>
      <c r="B409" s="47">
        <f>IF(K409=1,COUNTIF($D$2:D409,D409),"")</f>
        <v>102</v>
      </c>
      <c r="C409" s="49" t="s">
        <v>120</v>
      </c>
      <c r="D409" s="47" t="s">
        <v>122</v>
      </c>
      <c r="E409" s="49" t="s">
        <v>956</v>
      </c>
      <c r="F409" s="49" t="s">
        <v>964</v>
      </c>
      <c r="G409" s="49" t="s">
        <v>971</v>
      </c>
      <c r="H409" s="47" t="s">
        <v>972</v>
      </c>
      <c r="I409" s="43" t="str">
        <f t="shared" si="26"/>
        <v>电气</v>
      </c>
      <c r="J409" s="44" t="str">
        <f t="shared" si="27"/>
        <v>电气 盖板</v>
      </c>
      <c r="K409" s="43">
        <f>COUNTIF($J$2:J409,J409)</f>
        <v>1</v>
      </c>
    </row>
    <row r="410" spans="1:11">
      <c r="A410" s="47">
        <v>402</v>
      </c>
      <c r="B410" s="47">
        <f>IF(K410=1,COUNTIF($D$2:D410,D410),"")</f>
        <v>103</v>
      </c>
      <c r="C410" s="49" t="s">
        <v>120</v>
      </c>
      <c r="D410" s="47" t="s">
        <v>122</v>
      </c>
      <c r="E410" s="49" t="s">
        <v>956</v>
      </c>
      <c r="F410" s="49" t="s">
        <v>973</v>
      </c>
      <c r="G410" s="49" t="s">
        <v>726</v>
      </c>
      <c r="H410" s="47" t="s">
        <v>974</v>
      </c>
      <c r="I410" s="43" t="str">
        <f t="shared" si="26"/>
        <v>电气</v>
      </c>
      <c r="J410" s="44" t="str">
        <f t="shared" si="27"/>
        <v>电气 金属软管</v>
      </c>
      <c r="K410" s="43">
        <f>COUNTIF($J$2:J410,J410)</f>
        <v>1</v>
      </c>
    </row>
    <row r="411" spans="1:11">
      <c r="A411" s="47">
        <v>403</v>
      </c>
      <c r="B411" s="47">
        <f>IF(K411=1,COUNTIF($D$2:D411,D411),"")</f>
        <v>104</v>
      </c>
      <c r="C411" s="49" t="s">
        <v>120</v>
      </c>
      <c r="D411" s="47" t="s">
        <v>122</v>
      </c>
      <c r="E411" s="49" t="s">
        <v>956</v>
      </c>
      <c r="F411" s="49" t="s">
        <v>973</v>
      </c>
      <c r="G411" s="49" t="s">
        <v>975</v>
      </c>
      <c r="H411" s="47" t="s">
        <v>976</v>
      </c>
      <c r="I411" s="43" t="str">
        <f t="shared" si="26"/>
        <v>电气</v>
      </c>
      <c r="J411" s="44" t="str">
        <f t="shared" si="27"/>
        <v>电气 防爆挠性软管</v>
      </c>
      <c r="K411" s="43">
        <f>COUNTIF($J$2:J411,J411)</f>
        <v>1</v>
      </c>
    </row>
    <row r="412" spans="1:11">
      <c r="A412" s="47">
        <v>404</v>
      </c>
      <c r="B412" s="47">
        <f>IF(K412=1,COUNTIF($D$2:D412,D412),"")</f>
        <v>105</v>
      </c>
      <c r="C412" s="49" t="s">
        <v>120</v>
      </c>
      <c r="D412" s="47" t="s">
        <v>122</v>
      </c>
      <c r="E412" s="49" t="s">
        <v>956</v>
      </c>
      <c r="F412" s="49" t="s">
        <v>973</v>
      </c>
      <c r="G412" s="49" t="s">
        <v>977</v>
      </c>
      <c r="H412" s="47" t="s">
        <v>978</v>
      </c>
      <c r="I412" s="43" t="str">
        <f t="shared" si="26"/>
        <v>电气</v>
      </c>
      <c r="J412" s="44" t="str">
        <f t="shared" si="27"/>
        <v>电气 塑料软管</v>
      </c>
      <c r="K412" s="43">
        <f>COUNTIF($J$2:J412,J412)</f>
        <v>1</v>
      </c>
    </row>
    <row r="413" spans="1:11">
      <c r="A413" s="47">
        <v>405</v>
      </c>
      <c r="B413" s="47">
        <f>IF(K413=1,COUNTIF($D$2:D413,D413),"")</f>
        <v>106</v>
      </c>
      <c r="C413" s="49" t="s">
        <v>120</v>
      </c>
      <c r="D413" s="47" t="s">
        <v>122</v>
      </c>
      <c r="E413" s="49" t="s">
        <v>956</v>
      </c>
      <c r="F413" s="49" t="s">
        <v>973</v>
      </c>
      <c r="G413" s="49" t="s">
        <v>979</v>
      </c>
      <c r="H413" s="47" t="s">
        <v>980</v>
      </c>
      <c r="I413" s="43" t="str">
        <f t="shared" si="26"/>
        <v>电气</v>
      </c>
      <c r="J413" s="44" t="str">
        <f t="shared" si="27"/>
        <v>电气 尼龙软管</v>
      </c>
      <c r="K413" s="43">
        <f>COUNTIF($J$2:J413,J413)</f>
        <v>1</v>
      </c>
    </row>
    <row r="414" spans="1:11">
      <c r="A414" s="47">
        <v>406</v>
      </c>
      <c r="B414" s="47">
        <f>IF(K414=1,COUNTIF($D$2:D414,D414),"")</f>
        <v>107</v>
      </c>
      <c r="C414" s="49" t="s">
        <v>120</v>
      </c>
      <c r="D414" s="47" t="s">
        <v>122</v>
      </c>
      <c r="E414" s="49" t="s">
        <v>956</v>
      </c>
      <c r="F414" s="49" t="s">
        <v>973</v>
      </c>
      <c r="G414" s="49" t="s">
        <v>981</v>
      </c>
      <c r="H414" s="47" t="s">
        <v>982</v>
      </c>
      <c r="I414" s="43" t="str">
        <f t="shared" si="26"/>
        <v>电气</v>
      </c>
      <c r="J414" s="44" t="str">
        <f t="shared" si="27"/>
        <v>电气 软管接头</v>
      </c>
      <c r="K414" s="43">
        <f>COUNTIF($J$2:J414,J414)</f>
        <v>1</v>
      </c>
    </row>
    <row r="415" spans="1:11">
      <c r="A415" s="47">
        <v>407</v>
      </c>
      <c r="B415" s="47">
        <f>IF(K415=1,COUNTIF($D$2:D415,D415),"")</f>
        <v>108</v>
      </c>
      <c r="C415" s="49" t="s">
        <v>120</v>
      </c>
      <c r="D415" s="47" t="s">
        <v>122</v>
      </c>
      <c r="E415" s="49" t="s">
        <v>956</v>
      </c>
      <c r="F415" s="49" t="s">
        <v>983</v>
      </c>
      <c r="G415" s="49" t="s">
        <v>983</v>
      </c>
      <c r="H415" s="47" t="s">
        <v>984</v>
      </c>
      <c r="I415" s="43" t="str">
        <f t="shared" si="26"/>
        <v>电气</v>
      </c>
      <c r="J415" s="44" t="str">
        <f t="shared" si="27"/>
        <v>电气 电缆密封接头</v>
      </c>
      <c r="K415" s="43">
        <f>COUNTIF($J$2:J415,J415)</f>
        <v>1</v>
      </c>
    </row>
    <row r="416" spans="1:11">
      <c r="A416" s="47">
        <v>408</v>
      </c>
      <c r="B416" s="47">
        <f>IF(K416=1,COUNTIF($D$2:D416,D416),"")</f>
        <v>109</v>
      </c>
      <c r="C416" s="49" t="s">
        <v>120</v>
      </c>
      <c r="D416" s="47" t="s">
        <v>122</v>
      </c>
      <c r="E416" s="49" t="s">
        <v>956</v>
      </c>
      <c r="F416" s="49" t="s">
        <v>985</v>
      </c>
      <c r="G416" s="49" t="s">
        <v>986</v>
      </c>
      <c r="H416" s="47" t="s">
        <v>987</v>
      </c>
      <c r="I416" s="43" t="str">
        <f t="shared" si="26"/>
        <v>电气</v>
      </c>
      <c r="J416" s="44" t="str">
        <f t="shared" si="27"/>
        <v>电气 开口接线鼻</v>
      </c>
      <c r="K416" s="43">
        <f>COUNTIF($J$2:J416,J416)</f>
        <v>1</v>
      </c>
    </row>
    <row r="417" spans="1:11">
      <c r="A417" s="47">
        <v>409</v>
      </c>
      <c r="B417" s="47">
        <f>IF(K417=1,COUNTIF($D$2:D417,D417),"")</f>
        <v>110</v>
      </c>
      <c r="C417" s="49" t="s">
        <v>120</v>
      </c>
      <c r="D417" s="47" t="s">
        <v>122</v>
      </c>
      <c r="E417" s="49" t="s">
        <v>956</v>
      </c>
      <c r="F417" s="49" t="s">
        <v>985</v>
      </c>
      <c r="G417" s="49" t="s">
        <v>988</v>
      </c>
      <c r="H417" s="47" t="s">
        <v>989</v>
      </c>
      <c r="I417" s="43" t="str">
        <f t="shared" si="26"/>
        <v>电气</v>
      </c>
      <c r="J417" s="44" t="str">
        <f t="shared" si="27"/>
        <v>电气 管状接线鼻</v>
      </c>
      <c r="K417" s="43">
        <f>COUNTIF($J$2:J417,J417)</f>
        <v>1</v>
      </c>
    </row>
    <row r="418" spans="1:11">
      <c r="A418" s="47">
        <v>410</v>
      </c>
      <c r="B418" s="47">
        <f>IF(K418=1,COUNTIF($D$2:D418,D418),"")</f>
        <v>111</v>
      </c>
      <c r="C418" s="49" t="s">
        <v>120</v>
      </c>
      <c r="D418" s="47" t="s">
        <v>122</v>
      </c>
      <c r="E418" s="49" t="s">
        <v>956</v>
      </c>
      <c r="F418" s="49" t="s">
        <v>990</v>
      </c>
      <c r="G418" s="49" t="s">
        <v>991</v>
      </c>
      <c r="H418" s="47" t="s">
        <v>992</v>
      </c>
      <c r="I418" s="43" t="str">
        <f t="shared" si="26"/>
        <v>电气</v>
      </c>
      <c r="J418" s="44" t="str">
        <f t="shared" si="27"/>
        <v>电气 管卡</v>
      </c>
      <c r="K418" s="43">
        <f>COUNTIF($J$2:J418,J418)</f>
        <v>1</v>
      </c>
    </row>
    <row r="419" spans="1:11">
      <c r="A419" s="47">
        <v>411</v>
      </c>
      <c r="B419" s="47">
        <f>IF(K419=1,COUNTIF($D$2:D419,D419),"")</f>
        <v>112</v>
      </c>
      <c r="C419" s="49" t="s">
        <v>120</v>
      </c>
      <c r="D419" s="47" t="s">
        <v>122</v>
      </c>
      <c r="E419" s="49" t="s">
        <v>956</v>
      </c>
      <c r="F419" s="49" t="s">
        <v>990</v>
      </c>
      <c r="G419" s="49" t="s">
        <v>993</v>
      </c>
      <c r="H419" s="47" t="s">
        <v>994</v>
      </c>
      <c r="I419" s="43" t="str">
        <f t="shared" si="26"/>
        <v>电气</v>
      </c>
      <c r="J419" s="44" t="str">
        <f t="shared" si="27"/>
        <v>电气 电工胶布</v>
      </c>
      <c r="K419" s="43">
        <f>COUNTIF($J$2:J419,J419)</f>
        <v>1</v>
      </c>
    </row>
    <row r="420" spans="1:11">
      <c r="A420" s="47">
        <v>412</v>
      </c>
      <c r="B420" s="47">
        <f>IF(K420=1,COUNTIF($D$2:D420,D420),"")</f>
        <v>113</v>
      </c>
      <c r="C420" s="49" t="s">
        <v>120</v>
      </c>
      <c r="D420" s="47" t="s">
        <v>122</v>
      </c>
      <c r="E420" s="49" t="s">
        <v>956</v>
      </c>
      <c r="F420" s="49" t="s">
        <v>990</v>
      </c>
      <c r="G420" s="49" t="s">
        <v>995</v>
      </c>
      <c r="H420" s="47" t="s">
        <v>996</v>
      </c>
      <c r="I420" s="43" t="str">
        <f t="shared" si="26"/>
        <v>电气</v>
      </c>
      <c r="J420" s="44" t="str">
        <f t="shared" si="27"/>
        <v>电气 扎带</v>
      </c>
      <c r="K420" s="43">
        <f>COUNTIF($J$2:J420,J420)</f>
        <v>1</v>
      </c>
    </row>
    <row r="421" spans="1:11">
      <c r="A421" s="47">
        <v>413</v>
      </c>
      <c r="B421" s="47">
        <f>IF(K421=1,COUNTIF($D$2:D421,D421),"")</f>
        <v>114</v>
      </c>
      <c r="C421" s="49" t="s">
        <v>120</v>
      </c>
      <c r="D421" s="47" t="s">
        <v>122</v>
      </c>
      <c r="E421" s="49" t="s">
        <v>956</v>
      </c>
      <c r="F421" s="49" t="s">
        <v>990</v>
      </c>
      <c r="G421" s="49" t="s">
        <v>997</v>
      </c>
      <c r="H421" s="47" t="s">
        <v>998</v>
      </c>
      <c r="I421" s="43" t="str">
        <f t="shared" ref="I421:I473" si="34">IF(COUNTA(C421)=1,C421,I420)</f>
        <v>电气</v>
      </c>
      <c r="J421" s="44" t="str">
        <f t="shared" ref="J421:J473" si="35">CONCATENATE(I421," ",G421)</f>
        <v>电气 护口</v>
      </c>
      <c r="K421" s="43">
        <f>COUNTIF($J$2:J421,J421)</f>
        <v>1</v>
      </c>
    </row>
    <row r="422" spans="1:11">
      <c r="A422" s="47">
        <v>414</v>
      </c>
      <c r="B422" s="47">
        <f>IF(K422=1,COUNTIF($D$2:D422,D422),"")</f>
        <v>115</v>
      </c>
      <c r="C422" s="49" t="s">
        <v>120</v>
      </c>
      <c r="D422" s="47" t="s">
        <v>122</v>
      </c>
      <c r="E422" s="49" t="s">
        <v>956</v>
      </c>
      <c r="F422" s="49" t="s">
        <v>990</v>
      </c>
      <c r="G422" s="49" t="s">
        <v>999</v>
      </c>
      <c r="H422" s="47" t="s">
        <v>1000</v>
      </c>
      <c r="I422" s="43" t="str">
        <f t="shared" si="34"/>
        <v>电气</v>
      </c>
      <c r="J422" s="44" t="str">
        <f t="shared" si="35"/>
        <v>电气 锁母</v>
      </c>
      <c r="K422" s="43">
        <f>COUNTIF($J$2:J422,J422)</f>
        <v>1</v>
      </c>
    </row>
    <row r="423" spans="1:11">
      <c r="A423" s="47">
        <v>415</v>
      </c>
      <c r="B423" s="47">
        <f>IF(K423=1,COUNTIF($D$2:D423,D423),"")</f>
        <v>116</v>
      </c>
      <c r="C423" s="49" t="s">
        <v>120</v>
      </c>
      <c r="D423" s="47" t="s">
        <v>122</v>
      </c>
      <c r="E423" s="49" t="s">
        <v>956</v>
      </c>
      <c r="F423" s="49" t="s">
        <v>990</v>
      </c>
      <c r="G423" s="49" t="s">
        <v>1001</v>
      </c>
      <c r="H423" s="47" t="s">
        <v>1002</v>
      </c>
      <c r="I423" s="43" t="str">
        <f t="shared" si="34"/>
        <v>电气</v>
      </c>
      <c r="J423" s="44" t="str">
        <f t="shared" si="35"/>
        <v>电气 防爆泥</v>
      </c>
      <c r="K423" s="43">
        <f>COUNTIF($J$2:J423,J423)</f>
        <v>1</v>
      </c>
    </row>
    <row r="424" spans="1:11">
      <c r="A424" s="47">
        <v>416</v>
      </c>
      <c r="B424" s="47">
        <f>IF(K424=1,COUNTIF($D$2:D424,D424),"")</f>
        <v>117</v>
      </c>
      <c r="C424" s="49" t="s">
        <v>120</v>
      </c>
      <c r="D424" s="47" t="s">
        <v>122</v>
      </c>
      <c r="E424" s="49" t="s">
        <v>956</v>
      </c>
      <c r="F424" s="49" t="s">
        <v>990</v>
      </c>
      <c r="G424" s="49" t="s">
        <v>1003</v>
      </c>
      <c r="H424" s="47" t="s">
        <v>1004</v>
      </c>
      <c r="I424" s="43" t="str">
        <f t="shared" si="34"/>
        <v>电气</v>
      </c>
      <c r="J424" s="44" t="str">
        <f t="shared" si="35"/>
        <v>电气 其它辅材</v>
      </c>
      <c r="K424" s="43">
        <f>COUNTIF($J$2:J424,J424)</f>
        <v>1</v>
      </c>
    </row>
    <row r="425" spans="1:11">
      <c r="A425" s="47">
        <v>417</v>
      </c>
      <c r="B425" s="47">
        <f>IF(K425=1,COUNTIF($D$2:D425,D425),"")</f>
        <v>118</v>
      </c>
      <c r="C425" s="49" t="s">
        <v>120</v>
      </c>
      <c r="D425" s="47" t="s">
        <v>122</v>
      </c>
      <c r="E425" s="49" t="s">
        <v>1005</v>
      </c>
      <c r="F425" s="49" t="s">
        <v>1006</v>
      </c>
      <c r="G425" s="49" t="s">
        <v>1007</v>
      </c>
      <c r="H425" s="47" t="s">
        <v>1008</v>
      </c>
      <c r="I425" s="43" t="str">
        <f t="shared" si="34"/>
        <v>电气</v>
      </c>
      <c r="J425" s="44" t="str">
        <f t="shared" si="35"/>
        <v>电气 雷达物位传感器</v>
      </c>
      <c r="K425" s="43">
        <f>COUNTIF($J$2:J425,J425)</f>
        <v>1</v>
      </c>
    </row>
    <row r="426" spans="1:11">
      <c r="A426" s="47">
        <v>418</v>
      </c>
      <c r="B426" s="47">
        <f>IF(K426=1,COUNTIF($D$2:D426,D426),"")</f>
        <v>119</v>
      </c>
      <c r="C426" s="49" t="s">
        <v>120</v>
      </c>
      <c r="D426" s="47" t="s">
        <v>122</v>
      </c>
      <c r="E426" s="49" t="s">
        <v>1005</v>
      </c>
      <c r="F426" s="49" t="s">
        <v>1006</v>
      </c>
      <c r="G426" s="49" t="s">
        <v>1009</v>
      </c>
      <c r="H426" s="47" t="s">
        <v>1010</v>
      </c>
      <c r="I426" s="43" t="str">
        <f t="shared" si="34"/>
        <v>电气</v>
      </c>
      <c r="J426" s="44" t="str">
        <f t="shared" si="35"/>
        <v>电气 超声波物位传感器</v>
      </c>
      <c r="K426" s="43">
        <f>COUNTIF($J$2:J426,J426)</f>
        <v>1</v>
      </c>
    </row>
    <row r="427" spans="1:11">
      <c r="A427" s="47">
        <v>419</v>
      </c>
      <c r="B427" s="47">
        <f>IF(K427=1,COUNTIF($D$2:D427,D427),"")</f>
        <v>120</v>
      </c>
      <c r="C427" s="49" t="s">
        <v>120</v>
      </c>
      <c r="D427" s="47" t="s">
        <v>122</v>
      </c>
      <c r="E427" s="49" t="s">
        <v>1005</v>
      </c>
      <c r="F427" s="49" t="s">
        <v>1006</v>
      </c>
      <c r="G427" s="49" t="s">
        <v>1011</v>
      </c>
      <c r="H427" s="47" t="s">
        <v>1012</v>
      </c>
      <c r="I427" s="43" t="str">
        <f t="shared" si="34"/>
        <v>电气</v>
      </c>
      <c r="J427" s="44" t="str">
        <f t="shared" si="35"/>
        <v>电气 静压式液位变送器</v>
      </c>
      <c r="K427" s="43">
        <f>COUNTIF($J$2:J427,J427)</f>
        <v>1</v>
      </c>
    </row>
    <row r="428" spans="1:11">
      <c r="A428" s="47">
        <v>420</v>
      </c>
      <c r="B428" s="47">
        <f>IF(K428=1,COUNTIF($D$2:D428,D428),"")</f>
        <v>121</v>
      </c>
      <c r="C428" s="49" t="s">
        <v>120</v>
      </c>
      <c r="D428" s="47" t="s">
        <v>122</v>
      </c>
      <c r="E428" s="49" t="s">
        <v>1005</v>
      </c>
      <c r="F428" s="49" t="s">
        <v>1006</v>
      </c>
      <c r="G428" s="49" t="s">
        <v>1013</v>
      </c>
      <c r="H428" s="47" t="s">
        <v>1014</v>
      </c>
      <c r="I428" s="43" t="str">
        <f t="shared" si="34"/>
        <v>电气</v>
      </c>
      <c r="J428" s="44" t="str">
        <f t="shared" si="35"/>
        <v>电气 双法兰液位变送器</v>
      </c>
      <c r="K428" s="43">
        <f>COUNTIF($J$2:J428,J428)</f>
        <v>1</v>
      </c>
    </row>
    <row r="429" ht="16.2" spans="1:11">
      <c r="A429" s="47">
        <v>421</v>
      </c>
      <c r="B429" s="47">
        <f>IF(K429=1,COUNTIF($D$2:D429,D429),"")</f>
        <v>122</v>
      </c>
      <c r="C429" s="49" t="s">
        <v>120</v>
      </c>
      <c r="D429" s="47" t="s">
        <v>122</v>
      </c>
      <c r="E429" s="49" t="s">
        <v>1005</v>
      </c>
      <c r="F429" s="49" t="s">
        <v>1006</v>
      </c>
      <c r="G429" s="60" t="s">
        <v>1015</v>
      </c>
      <c r="H429" s="47" t="s">
        <v>1016</v>
      </c>
      <c r="I429" s="43" t="str">
        <f t="shared" si="34"/>
        <v>电气</v>
      </c>
      <c r="J429" s="44" t="str">
        <f t="shared" si="35"/>
        <v>电气 导波雷达物位传感器</v>
      </c>
      <c r="K429" s="43">
        <f>COUNTIF($J$2:J429,J429)</f>
        <v>1</v>
      </c>
    </row>
    <row r="430" spans="1:11">
      <c r="A430" s="47">
        <v>422</v>
      </c>
      <c r="B430" s="47">
        <f>IF(K430=1,COUNTIF($D$2:D430,D430),"")</f>
        <v>123</v>
      </c>
      <c r="C430" s="49" t="s">
        <v>120</v>
      </c>
      <c r="D430" s="47" t="s">
        <v>122</v>
      </c>
      <c r="E430" s="49" t="s">
        <v>1005</v>
      </c>
      <c r="F430" s="49" t="s">
        <v>1006</v>
      </c>
      <c r="G430" s="49" t="s">
        <v>1017</v>
      </c>
      <c r="H430" s="47" t="s">
        <v>1018</v>
      </c>
      <c r="I430" s="43" t="str">
        <f t="shared" si="34"/>
        <v>电气</v>
      </c>
      <c r="J430" s="44" t="str">
        <f t="shared" si="35"/>
        <v>电气 连杆浮球液位传感器</v>
      </c>
      <c r="K430" s="43">
        <f>COUNTIF($J$2:J430,J430)</f>
        <v>1</v>
      </c>
    </row>
    <row r="431" spans="1:11">
      <c r="A431" s="47">
        <v>423</v>
      </c>
      <c r="B431" s="47">
        <f>IF(K431=1,COUNTIF($D$2:D431,D431),"")</f>
        <v>124</v>
      </c>
      <c r="C431" s="49" t="s">
        <v>120</v>
      </c>
      <c r="D431" s="47" t="s">
        <v>122</v>
      </c>
      <c r="E431" s="49" t="s">
        <v>1005</v>
      </c>
      <c r="F431" s="49" t="s">
        <v>1006</v>
      </c>
      <c r="G431" s="49" t="s">
        <v>1019</v>
      </c>
      <c r="H431" s="47" t="s">
        <v>1020</v>
      </c>
      <c r="I431" s="43" t="str">
        <f t="shared" si="34"/>
        <v>电气</v>
      </c>
      <c r="J431" s="44" t="str">
        <f t="shared" si="35"/>
        <v>电气 磁翻板液位计</v>
      </c>
      <c r="K431" s="43">
        <f>COUNTIF($J$2:J431,J431)</f>
        <v>1</v>
      </c>
    </row>
    <row r="432" spans="1:11">
      <c r="A432" s="47">
        <v>424</v>
      </c>
      <c r="B432" s="47">
        <f>IF(K432=1,COUNTIF($D$2:D432,D432),"")</f>
        <v>125</v>
      </c>
      <c r="C432" s="49" t="s">
        <v>120</v>
      </c>
      <c r="D432" s="47" t="s">
        <v>122</v>
      </c>
      <c r="E432" s="49" t="s">
        <v>1005</v>
      </c>
      <c r="F432" s="49" t="s">
        <v>1006</v>
      </c>
      <c r="G432" s="49" t="s">
        <v>1021</v>
      </c>
      <c r="H432" s="47" t="s">
        <v>1022</v>
      </c>
      <c r="I432" s="43" t="str">
        <f t="shared" si="34"/>
        <v>电气</v>
      </c>
      <c r="J432" s="44" t="str">
        <f t="shared" si="35"/>
        <v>电气 投入式压力变送器</v>
      </c>
      <c r="K432" s="43">
        <f>COUNTIF($J$2:J432,J432)</f>
        <v>1</v>
      </c>
    </row>
    <row r="433" spans="1:11">
      <c r="A433" s="47">
        <v>425</v>
      </c>
      <c r="B433" s="47">
        <f>IF(K433=1,COUNTIF($D$2:D433,D433),"")</f>
        <v>126</v>
      </c>
      <c r="C433" s="49" t="s">
        <v>120</v>
      </c>
      <c r="D433" s="47" t="s">
        <v>122</v>
      </c>
      <c r="E433" s="49" t="s">
        <v>1005</v>
      </c>
      <c r="F433" s="49" t="s">
        <v>1006</v>
      </c>
      <c r="G433" s="49" t="s">
        <v>1023</v>
      </c>
      <c r="H433" s="47" t="s">
        <v>1024</v>
      </c>
      <c r="I433" s="43" t="str">
        <f t="shared" si="34"/>
        <v>电气</v>
      </c>
      <c r="J433" s="44" t="str">
        <f t="shared" si="35"/>
        <v>电气 角度变送器</v>
      </c>
      <c r="K433" s="43">
        <f>COUNTIF($J$2:J433,J433)</f>
        <v>1</v>
      </c>
    </row>
    <row r="434" spans="1:11">
      <c r="A434" s="47">
        <v>426</v>
      </c>
      <c r="B434" s="47">
        <f>IF(K434=1,COUNTIF($D$2:D434,D434),"")</f>
        <v>127</v>
      </c>
      <c r="C434" s="49" t="s">
        <v>120</v>
      </c>
      <c r="D434" s="47" t="s">
        <v>122</v>
      </c>
      <c r="E434" s="49" t="s">
        <v>1005</v>
      </c>
      <c r="F434" s="49" t="s">
        <v>1006</v>
      </c>
      <c r="G434" s="49" t="s">
        <v>1025</v>
      </c>
      <c r="H434" s="47" t="s">
        <v>1026</v>
      </c>
      <c r="I434" s="43" t="str">
        <f t="shared" si="34"/>
        <v>电气</v>
      </c>
      <c r="J434" s="44" t="str">
        <f t="shared" si="35"/>
        <v>电气 其它形式连续物位测量</v>
      </c>
      <c r="K434" s="43">
        <f>COUNTIF($J$2:J434,J434)</f>
        <v>1</v>
      </c>
    </row>
    <row r="435" spans="1:11">
      <c r="A435" s="47">
        <v>427</v>
      </c>
      <c r="B435" s="47">
        <f>IF(K435=1,COUNTIF($D$2:D435,D435),"")</f>
        <v>128</v>
      </c>
      <c r="C435" s="49" t="s">
        <v>120</v>
      </c>
      <c r="D435" s="47" t="s">
        <v>122</v>
      </c>
      <c r="E435" s="49" t="s">
        <v>1005</v>
      </c>
      <c r="F435" s="49" t="s">
        <v>1027</v>
      </c>
      <c r="G435" s="49" t="s">
        <v>1028</v>
      </c>
      <c r="H435" s="47" t="s">
        <v>1029</v>
      </c>
      <c r="I435" s="43" t="str">
        <f t="shared" si="34"/>
        <v>电气</v>
      </c>
      <c r="J435" s="44" t="str">
        <f t="shared" si="35"/>
        <v>电气 音叉物位开关</v>
      </c>
      <c r="K435" s="43">
        <f>COUNTIF($J$2:J435,J435)</f>
        <v>1</v>
      </c>
    </row>
    <row r="436" spans="1:11">
      <c r="A436" s="47">
        <v>428</v>
      </c>
      <c r="B436" s="47">
        <f>IF(K436=1,COUNTIF($D$2:D436,D436),"")</f>
        <v>129</v>
      </c>
      <c r="C436" s="49" t="s">
        <v>120</v>
      </c>
      <c r="D436" s="47" t="s">
        <v>122</v>
      </c>
      <c r="E436" s="49" t="s">
        <v>1005</v>
      </c>
      <c r="F436" s="49" t="s">
        <v>1027</v>
      </c>
      <c r="G436" s="49" t="s">
        <v>1030</v>
      </c>
      <c r="H436" s="47" t="s">
        <v>1031</v>
      </c>
      <c r="I436" s="43" t="str">
        <f t="shared" si="34"/>
        <v>电气</v>
      </c>
      <c r="J436" s="44" t="str">
        <f t="shared" si="35"/>
        <v>电气 浮球液位开关</v>
      </c>
      <c r="K436" s="43">
        <f>COUNTIF($J$2:J436,J436)</f>
        <v>1</v>
      </c>
    </row>
    <row r="437" spans="1:11">
      <c r="A437" s="47">
        <v>429</v>
      </c>
      <c r="B437" s="47">
        <f>IF(K437=1,COUNTIF($D$2:D437,D437),"")</f>
        <v>130</v>
      </c>
      <c r="C437" s="49" t="s">
        <v>120</v>
      </c>
      <c r="D437" s="47" t="s">
        <v>122</v>
      </c>
      <c r="E437" s="49" t="s">
        <v>1005</v>
      </c>
      <c r="F437" s="49" t="s">
        <v>1027</v>
      </c>
      <c r="G437" s="49" t="s">
        <v>1032</v>
      </c>
      <c r="H437" s="47" t="s">
        <v>1033</v>
      </c>
      <c r="I437" s="43" t="str">
        <f t="shared" si="34"/>
        <v>电气</v>
      </c>
      <c r="J437" s="44" t="str">
        <f t="shared" si="35"/>
        <v>电气 电容物位开关</v>
      </c>
      <c r="K437" s="43">
        <f>COUNTIF($J$2:J437,J437)</f>
        <v>1</v>
      </c>
    </row>
    <row r="438" spans="1:11">
      <c r="A438" s="47">
        <v>430</v>
      </c>
      <c r="B438" s="47">
        <f>IF(K438=1,COUNTIF($D$2:D438,D438),"")</f>
        <v>131</v>
      </c>
      <c r="C438" s="49" t="s">
        <v>120</v>
      </c>
      <c r="D438" s="47" t="s">
        <v>122</v>
      </c>
      <c r="E438" s="49" t="s">
        <v>1005</v>
      </c>
      <c r="F438" s="49" t="s">
        <v>1027</v>
      </c>
      <c r="G438" s="49" t="s">
        <v>1034</v>
      </c>
      <c r="H438" s="47" t="s">
        <v>1035</v>
      </c>
      <c r="I438" s="43" t="str">
        <f t="shared" si="34"/>
        <v>电气</v>
      </c>
      <c r="J438" s="44" t="str">
        <f t="shared" si="35"/>
        <v>电气 射频导纳物位开关</v>
      </c>
      <c r="K438" s="43">
        <f>COUNTIF($J$2:J438,J438)</f>
        <v>1</v>
      </c>
    </row>
    <row r="439" spans="1:11">
      <c r="A439" s="47">
        <v>431</v>
      </c>
      <c r="B439" s="47">
        <f>IF(K439=1,COUNTIF($D$2:D439,D439),"")</f>
        <v>132</v>
      </c>
      <c r="C439" s="49" t="s">
        <v>120</v>
      </c>
      <c r="D439" s="47" t="s">
        <v>122</v>
      </c>
      <c r="E439" s="49" t="s">
        <v>1005</v>
      </c>
      <c r="F439" s="49" t="s">
        <v>1027</v>
      </c>
      <c r="G439" s="49" t="s">
        <v>1036</v>
      </c>
      <c r="H439" s="47" t="s">
        <v>1037</v>
      </c>
      <c r="I439" s="43" t="str">
        <f t="shared" si="34"/>
        <v>电气</v>
      </c>
      <c r="J439" s="44" t="str">
        <f t="shared" si="35"/>
        <v>电气 阻旋物位开关</v>
      </c>
      <c r="K439" s="43">
        <f>COUNTIF($J$2:J439,J439)</f>
        <v>1</v>
      </c>
    </row>
    <row r="440" spans="1:11">
      <c r="A440" s="47">
        <v>432</v>
      </c>
      <c r="B440" s="47">
        <f>IF(K440=1,COUNTIF($D$2:D440,D440),"")</f>
        <v>133</v>
      </c>
      <c r="C440" s="49" t="s">
        <v>120</v>
      </c>
      <c r="D440" s="47" t="s">
        <v>122</v>
      </c>
      <c r="E440" s="49" t="s">
        <v>1005</v>
      </c>
      <c r="F440" s="49" t="s">
        <v>1027</v>
      </c>
      <c r="G440" s="49" t="s">
        <v>1038</v>
      </c>
      <c r="H440" s="47" t="s">
        <v>1039</v>
      </c>
      <c r="I440" s="43" t="str">
        <f t="shared" si="34"/>
        <v>电气</v>
      </c>
      <c r="J440" s="44" t="str">
        <f t="shared" si="35"/>
        <v>电气 膜片式料位开关</v>
      </c>
      <c r="K440" s="43">
        <f>COUNTIF($J$2:J440,J440)</f>
        <v>1</v>
      </c>
    </row>
    <row r="441" spans="1:11">
      <c r="A441" s="47">
        <v>433</v>
      </c>
      <c r="B441" s="47">
        <f>IF(K441=1,COUNTIF($D$2:D441,D441),"")</f>
        <v>134</v>
      </c>
      <c r="C441" s="49" t="s">
        <v>120</v>
      </c>
      <c r="D441" s="47" t="s">
        <v>122</v>
      </c>
      <c r="E441" s="49" t="s">
        <v>1005</v>
      </c>
      <c r="F441" s="49" t="s">
        <v>1027</v>
      </c>
      <c r="G441" s="49" t="s">
        <v>1040</v>
      </c>
      <c r="H441" s="47" t="s">
        <v>1041</v>
      </c>
      <c r="I441" s="43" t="str">
        <f t="shared" si="34"/>
        <v>电气</v>
      </c>
      <c r="J441" s="44" t="str">
        <f t="shared" si="35"/>
        <v>电气 防溢流传感器</v>
      </c>
      <c r="K441" s="43">
        <f>COUNTIF($J$2:J441,J441)</f>
        <v>1</v>
      </c>
    </row>
    <row r="442" spans="1:11">
      <c r="A442" s="47">
        <v>434</v>
      </c>
      <c r="B442" s="47">
        <f>IF(K442=1,COUNTIF($D$2:D442,D442),"")</f>
        <v>135</v>
      </c>
      <c r="C442" s="49" t="s">
        <v>120</v>
      </c>
      <c r="D442" s="47" t="s">
        <v>122</v>
      </c>
      <c r="E442" s="49" t="s">
        <v>1005</v>
      </c>
      <c r="F442" s="49" t="s">
        <v>1027</v>
      </c>
      <c r="G442" s="49" t="s">
        <v>1042</v>
      </c>
      <c r="H442" s="47" t="s">
        <v>1043</v>
      </c>
      <c r="I442" s="43" t="str">
        <f t="shared" si="34"/>
        <v>电气</v>
      </c>
      <c r="J442" s="44" t="str">
        <f t="shared" si="35"/>
        <v>电气 其它形式的物位开关</v>
      </c>
      <c r="K442" s="43">
        <f>COUNTIF($J$2:J442,J442)</f>
        <v>1</v>
      </c>
    </row>
    <row r="443" spans="1:11">
      <c r="A443" s="47">
        <v>435</v>
      </c>
      <c r="B443" s="47">
        <f>IF(K443=1,COUNTIF($D$2:D443,D443),"")</f>
        <v>136</v>
      </c>
      <c r="C443" s="49" t="s">
        <v>120</v>
      </c>
      <c r="D443" s="47" t="s">
        <v>122</v>
      </c>
      <c r="E443" s="49" t="s">
        <v>1005</v>
      </c>
      <c r="F443" s="49" t="s">
        <v>1044</v>
      </c>
      <c r="G443" s="49" t="s">
        <v>1045</v>
      </c>
      <c r="H443" s="47" t="s">
        <v>1046</v>
      </c>
      <c r="I443" s="43" t="str">
        <f t="shared" si="34"/>
        <v>电气</v>
      </c>
      <c r="J443" s="44" t="str">
        <f t="shared" si="35"/>
        <v>电气 电磁流量计</v>
      </c>
      <c r="K443" s="43">
        <f>COUNTIF($J$2:J443,J443)</f>
        <v>1</v>
      </c>
    </row>
    <row r="444" spans="1:11">
      <c r="A444" s="47">
        <v>436</v>
      </c>
      <c r="B444" s="47">
        <f>IF(K444=1,COUNTIF($D$2:D444,D444),"")</f>
        <v>137</v>
      </c>
      <c r="C444" s="49" t="s">
        <v>120</v>
      </c>
      <c r="D444" s="47" t="s">
        <v>122</v>
      </c>
      <c r="E444" s="49" t="s">
        <v>1005</v>
      </c>
      <c r="F444" s="49" t="s">
        <v>1044</v>
      </c>
      <c r="G444" s="49" t="s">
        <v>1047</v>
      </c>
      <c r="H444" s="47" t="s">
        <v>1048</v>
      </c>
      <c r="I444" s="43" t="str">
        <f t="shared" si="34"/>
        <v>电气</v>
      </c>
      <c r="J444" s="44" t="str">
        <f t="shared" si="35"/>
        <v>电气 科氏力质量流量计</v>
      </c>
      <c r="K444" s="43">
        <f>COUNTIF($J$2:J444,J444)</f>
        <v>1</v>
      </c>
    </row>
    <row r="445" spans="1:11">
      <c r="A445" s="47">
        <v>437</v>
      </c>
      <c r="B445" s="47">
        <f>IF(K445=1,COUNTIF($D$2:D445,D445),"")</f>
        <v>138</v>
      </c>
      <c r="C445" s="49" t="s">
        <v>120</v>
      </c>
      <c r="D445" s="47" t="s">
        <v>122</v>
      </c>
      <c r="E445" s="49" t="s">
        <v>1005</v>
      </c>
      <c r="F445" s="49" t="s">
        <v>1044</v>
      </c>
      <c r="G445" s="49" t="s">
        <v>1049</v>
      </c>
      <c r="H445" s="47" t="s">
        <v>1050</v>
      </c>
      <c r="I445" s="43" t="str">
        <f t="shared" si="34"/>
        <v>电气</v>
      </c>
      <c r="J445" s="44" t="str">
        <f t="shared" si="35"/>
        <v>电气 转子流量计</v>
      </c>
      <c r="K445" s="43">
        <f>COUNTIF($J$2:J445,J445)</f>
        <v>1</v>
      </c>
    </row>
    <row r="446" spans="1:11">
      <c r="A446" s="47">
        <v>438</v>
      </c>
      <c r="B446" s="47">
        <f>IF(K446=1,COUNTIF($D$2:D446,D446),"")</f>
        <v>139</v>
      </c>
      <c r="C446" s="49" t="s">
        <v>120</v>
      </c>
      <c r="D446" s="47" t="s">
        <v>122</v>
      </c>
      <c r="E446" s="49" t="s">
        <v>1005</v>
      </c>
      <c r="F446" s="49" t="s">
        <v>1044</v>
      </c>
      <c r="G446" s="49" t="s">
        <v>1051</v>
      </c>
      <c r="H446" s="47" t="s">
        <v>1052</v>
      </c>
      <c r="I446" s="43" t="str">
        <f t="shared" si="34"/>
        <v>电气</v>
      </c>
      <c r="J446" s="44" t="str">
        <f t="shared" si="35"/>
        <v>电气 齿轮流量计</v>
      </c>
      <c r="K446" s="43">
        <f>COUNTIF($J$2:J446,J446)</f>
        <v>1</v>
      </c>
    </row>
    <row r="447" spans="1:11">
      <c r="A447" s="47">
        <v>439</v>
      </c>
      <c r="B447" s="47">
        <f>IF(K447=1,COUNTIF($D$2:D447,D447),"")</f>
        <v>140</v>
      </c>
      <c r="C447" s="49" t="s">
        <v>120</v>
      </c>
      <c r="D447" s="47" t="s">
        <v>122</v>
      </c>
      <c r="E447" s="49" t="s">
        <v>1005</v>
      </c>
      <c r="F447" s="49" t="s">
        <v>1044</v>
      </c>
      <c r="G447" s="49" t="s">
        <v>1053</v>
      </c>
      <c r="H447" s="47" t="s">
        <v>1054</v>
      </c>
      <c r="I447" s="43" t="str">
        <f t="shared" si="34"/>
        <v>电气</v>
      </c>
      <c r="J447" s="44" t="str">
        <f t="shared" si="35"/>
        <v>电气 涡街流量计</v>
      </c>
      <c r="K447" s="43">
        <f>COUNTIF($J$2:J447,J447)</f>
        <v>1</v>
      </c>
    </row>
    <row r="448" spans="1:11">
      <c r="A448" s="47">
        <v>440</v>
      </c>
      <c r="B448" s="47">
        <f>IF(K448=1,COUNTIF($D$2:D448,D448),"")</f>
        <v>141</v>
      </c>
      <c r="C448" s="49" t="s">
        <v>120</v>
      </c>
      <c r="D448" s="47" t="s">
        <v>122</v>
      </c>
      <c r="E448" s="49" t="s">
        <v>1005</v>
      </c>
      <c r="F448" s="49" t="s">
        <v>1044</v>
      </c>
      <c r="G448" s="49" t="s">
        <v>1055</v>
      </c>
      <c r="H448" s="47" t="s">
        <v>1056</v>
      </c>
      <c r="I448" s="43" t="str">
        <f t="shared" si="34"/>
        <v>电气</v>
      </c>
      <c r="J448" s="44" t="str">
        <f t="shared" si="35"/>
        <v>电气 超声波流量计</v>
      </c>
      <c r="K448" s="43">
        <f>COUNTIF($J$2:J448,J448)</f>
        <v>1</v>
      </c>
    </row>
    <row r="449" spans="1:11">
      <c r="A449" s="47">
        <v>441</v>
      </c>
      <c r="B449" s="47">
        <f>IF(K449=1,COUNTIF($D$2:D449,D449),"")</f>
        <v>142</v>
      </c>
      <c r="C449" s="49" t="s">
        <v>120</v>
      </c>
      <c r="D449" s="47" t="s">
        <v>122</v>
      </c>
      <c r="E449" s="49" t="s">
        <v>1005</v>
      </c>
      <c r="F449" s="49" t="s">
        <v>1044</v>
      </c>
      <c r="G449" s="49" t="s">
        <v>1057</v>
      </c>
      <c r="H449" s="47" t="s">
        <v>1058</v>
      </c>
      <c r="I449" s="43" t="str">
        <f t="shared" si="34"/>
        <v>电气</v>
      </c>
      <c r="J449" s="44" t="str">
        <f t="shared" si="35"/>
        <v>电气 差压式流量计</v>
      </c>
      <c r="K449" s="43">
        <f>COUNTIF($J$2:J449,J449)</f>
        <v>1</v>
      </c>
    </row>
    <row r="450" spans="1:11">
      <c r="A450" s="47">
        <v>442</v>
      </c>
      <c r="B450" s="47">
        <f>IF(K450=1,COUNTIF($D$2:D450,D450),"")</f>
        <v>143</v>
      </c>
      <c r="C450" s="49" t="s">
        <v>120</v>
      </c>
      <c r="D450" s="47" t="s">
        <v>122</v>
      </c>
      <c r="E450" s="49" t="s">
        <v>1005</v>
      </c>
      <c r="F450" s="49" t="s">
        <v>1044</v>
      </c>
      <c r="G450" s="49" t="s">
        <v>1059</v>
      </c>
      <c r="H450" s="47" t="s">
        <v>1060</v>
      </c>
      <c r="I450" s="43" t="str">
        <f t="shared" si="34"/>
        <v>电气</v>
      </c>
      <c r="J450" s="44" t="str">
        <f t="shared" si="35"/>
        <v>电气 热式质量流量计</v>
      </c>
      <c r="K450" s="43">
        <f>COUNTIF($J$2:J450,J450)</f>
        <v>1</v>
      </c>
    </row>
    <row r="451" spans="1:11">
      <c r="A451" s="47">
        <v>443</v>
      </c>
      <c r="B451" s="47">
        <f>IF(K451=1,COUNTIF($D$2:D451,D451),"")</f>
        <v>144</v>
      </c>
      <c r="C451" s="49" t="s">
        <v>120</v>
      </c>
      <c r="D451" s="47" t="s">
        <v>122</v>
      </c>
      <c r="E451" s="49" t="s">
        <v>1005</v>
      </c>
      <c r="F451" s="49" t="s">
        <v>1044</v>
      </c>
      <c r="G451" s="49" t="s">
        <v>1061</v>
      </c>
      <c r="H451" s="47" t="s">
        <v>1062</v>
      </c>
      <c r="I451" s="43" t="str">
        <f t="shared" si="34"/>
        <v>电气</v>
      </c>
      <c r="J451" s="44" t="str">
        <f t="shared" si="35"/>
        <v>电气 流量开关</v>
      </c>
      <c r="K451" s="43">
        <f>COUNTIF($J$2:J451,J451)</f>
        <v>1</v>
      </c>
    </row>
    <row r="452" spans="1:11">
      <c r="A452" s="47">
        <v>444</v>
      </c>
      <c r="B452" s="47">
        <f>IF(K452=1,COUNTIF($D$2:D452,D452),"")</f>
        <v>145</v>
      </c>
      <c r="C452" s="49" t="s">
        <v>120</v>
      </c>
      <c r="D452" s="47" t="s">
        <v>122</v>
      </c>
      <c r="E452" s="49" t="s">
        <v>1005</v>
      </c>
      <c r="F452" s="49" t="s">
        <v>1044</v>
      </c>
      <c r="G452" s="49" t="s">
        <v>1063</v>
      </c>
      <c r="H452" s="47" t="s">
        <v>1064</v>
      </c>
      <c r="I452" s="43" t="str">
        <f t="shared" si="34"/>
        <v>电气</v>
      </c>
      <c r="J452" s="44" t="str">
        <f t="shared" si="35"/>
        <v>电气 其它形式的流量计</v>
      </c>
      <c r="K452" s="43">
        <f>COUNTIF($J$2:J452,J452)</f>
        <v>1</v>
      </c>
    </row>
    <row r="453" spans="1:11">
      <c r="A453" s="47">
        <v>445</v>
      </c>
      <c r="B453" s="47">
        <f>IF(K453=1,COUNTIF($D$2:D453,D453),"")</f>
        <v>146</v>
      </c>
      <c r="C453" s="49" t="s">
        <v>120</v>
      </c>
      <c r="D453" s="47" t="s">
        <v>122</v>
      </c>
      <c r="E453" s="49" t="s">
        <v>1005</v>
      </c>
      <c r="F453" s="60" t="s">
        <v>1065</v>
      </c>
      <c r="G453" s="49" t="s">
        <v>1066</v>
      </c>
      <c r="H453" s="47" t="s">
        <v>1067</v>
      </c>
      <c r="I453" s="43" t="str">
        <f t="shared" si="34"/>
        <v>电气</v>
      </c>
      <c r="J453" s="44" t="str">
        <f t="shared" si="35"/>
        <v>电气 一体化温度变送器</v>
      </c>
      <c r="K453" s="43">
        <f>COUNTIF($J$2:J453,J453)</f>
        <v>1</v>
      </c>
    </row>
    <row r="454" spans="1:11">
      <c r="A454" s="47">
        <v>446</v>
      </c>
      <c r="B454" s="47">
        <f>IF(K454=1,COUNTIF($D$2:D454,D454),"")</f>
        <v>147</v>
      </c>
      <c r="C454" s="49" t="s">
        <v>120</v>
      </c>
      <c r="D454" s="47" t="s">
        <v>122</v>
      </c>
      <c r="E454" s="49" t="s">
        <v>1005</v>
      </c>
      <c r="F454" s="60" t="s">
        <v>1065</v>
      </c>
      <c r="G454" s="49" t="s">
        <v>1068</v>
      </c>
      <c r="H454" s="47" t="s">
        <v>1069</v>
      </c>
      <c r="I454" s="43" t="str">
        <f t="shared" si="34"/>
        <v>电气</v>
      </c>
      <c r="J454" s="44" t="str">
        <f t="shared" si="35"/>
        <v>电气 热电阻</v>
      </c>
      <c r="K454" s="43">
        <f>COUNTIF($J$2:J454,J454)</f>
        <v>1</v>
      </c>
    </row>
    <row r="455" spans="1:11">
      <c r="A455" s="47">
        <v>447</v>
      </c>
      <c r="B455" s="47">
        <f>IF(K455=1,COUNTIF($D$2:D455,D455),"")</f>
        <v>148</v>
      </c>
      <c r="C455" s="49" t="s">
        <v>120</v>
      </c>
      <c r="D455" s="47" t="s">
        <v>122</v>
      </c>
      <c r="E455" s="49" t="s">
        <v>1005</v>
      </c>
      <c r="F455" s="60" t="s">
        <v>1065</v>
      </c>
      <c r="G455" s="49" t="s">
        <v>1070</v>
      </c>
      <c r="H455" s="47" t="s">
        <v>1071</v>
      </c>
      <c r="I455" s="43" t="str">
        <f t="shared" si="34"/>
        <v>电气</v>
      </c>
      <c r="J455" s="44" t="str">
        <f t="shared" si="35"/>
        <v>电气 热电偶</v>
      </c>
      <c r="K455" s="43">
        <f>COUNTIF($J$2:J455,J455)</f>
        <v>1</v>
      </c>
    </row>
    <row r="456" spans="1:11">
      <c r="A456" s="47">
        <v>448</v>
      </c>
      <c r="B456" s="47">
        <f>IF(K456=1,COUNTIF($D$2:D456,D456),"")</f>
        <v>149</v>
      </c>
      <c r="C456" s="49" t="s">
        <v>120</v>
      </c>
      <c r="D456" s="47" t="s">
        <v>122</v>
      </c>
      <c r="E456" s="49" t="s">
        <v>1005</v>
      </c>
      <c r="F456" s="60" t="s">
        <v>1065</v>
      </c>
      <c r="G456" s="49" t="s">
        <v>1072</v>
      </c>
      <c r="H456" s="47" t="s">
        <v>1073</v>
      </c>
      <c r="I456" s="43" t="str">
        <f t="shared" si="34"/>
        <v>电气</v>
      </c>
      <c r="J456" s="44" t="str">
        <f t="shared" si="35"/>
        <v>电气 无线测温传感器</v>
      </c>
      <c r="K456" s="43">
        <f>COUNTIF($J$2:J456,J456)</f>
        <v>1</v>
      </c>
    </row>
    <row r="457" spans="1:11">
      <c r="A457" s="47">
        <v>449</v>
      </c>
      <c r="B457" s="47">
        <f>IF(K457=1,COUNTIF($D$2:D457,D457),"")</f>
        <v>150</v>
      </c>
      <c r="C457" s="49" t="s">
        <v>120</v>
      </c>
      <c r="D457" s="47" t="s">
        <v>122</v>
      </c>
      <c r="E457" s="49" t="s">
        <v>1005</v>
      </c>
      <c r="F457" s="60" t="s">
        <v>1065</v>
      </c>
      <c r="G457" s="49" t="s">
        <v>1074</v>
      </c>
      <c r="H457" s="47" t="s">
        <v>1075</v>
      </c>
      <c r="I457" s="43" t="str">
        <f t="shared" si="34"/>
        <v>电气</v>
      </c>
      <c r="J457" s="44" t="str">
        <f t="shared" si="35"/>
        <v>电气 无线测温控制器</v>
      </c>
      <c r="K457" s="43">
        <f>COUNTIF($J$2:J457,J457)</f>
        <v>1</v>
      </c>
    </row>
    <row r="458" spans="1:11">
      <c r="A458" s="47">
        <v>450</v>
      </c>
      <c r="B458" s="47">
        <f>IF(K458=1,COUNTIF($D$2:D458,D458),"")</f>
        <v>151</v>
      </c>
      <c r="C458" s="49" t="s">
        <v>120</v>
      </c>
      <c r="D458" s="47" t="s">
        <v>122</v>
      </c>
      <c r="E458" s="49" t="s">
        <v>1005</v>
      </c>
      <c r="F458" s="60" t="s">
        <v>1065</v>
      </c>
      <c r="G458" s="49" t="s">
        <v>1076</v>
      </c>
      <c r="H458" s="47" t="s">
        <v>1077</v>
      </c>
      <c r="I458" s="43" t="str">
        <f t="shared" si="34"/>
        <v>电气</v>
      </c>
      <c r="J458" s="44" t="str">
        <f t="shared" si="35"/>
        <v>电气 多点温度计</v>
      </c>
      <c r="K458" s="43">
        <f>COUNTIF($J$2:J458,J458)</f>
        <v>1</v>
      </c>
    </row>
    <row r="459" spans="1:11">
      <c r="A459" s="47">
        <v>451</v>
      </c>
      <c r="B459" s="47">
        <f>IF(K459=1,COUNTIF($D$2:D459,D459),"")</f>
        <v>152</v>
      </c>
      <c r="C459" s="49" t="s">
        <v>120</v>
      </c>
      <c r="D459" s="47" t="s">
        <v>122</v>
      </c>
      <c r="E459" s="49" t="s">
        <v>1005</v>
      </c>
      <c r="F459" s="60" t="s">
        <v>1065</v>
      </c>
      <c r="G459" s="60" t="s">
        <v>1078</v>
      </c>
      <c r="H459" s="47" t="s">
        <v>1079</v>
      </c>
      <c r="I459" s="43" t="str">
        <f t="shared" si="34"/>
        <v>电气</v>
      </c>
      <c r="J459" s="44" t="str">
        <f t="shared" si="35"/>
        <v>电气 测温电缆光缆</v>
      </c>
      <c r="K459" s="43">
        <f>COUNTIF($J$2:J459,J459)</f>
        <v>1</v>
      </c>
    </row>
    <row r="460" spans="1:11">
      <c r="A460" s="47">
        <v>452</v>
      </c>
      <c r="B460" s="47">
        <f>IF(K460=1,COUNTIF($D$2:D460,D460),"")</f>
        <v>153</v>
      </c>
      <c r="C460" s="49" t="s">
        <v>120</v>
      </c>
      <c r="D460" s="47" t="s">
        <v>122</v>
      </c>
      <c r="E460" s="49" t="s">
        <v>1005</v>
      </c>
      <c r="F460" s="60" t="s">
        <v>1065</v>
      </c>
      <c r="G460" s="60" t="s">
        <v>1080</v>
      </c>
      <c r="H460" s="47" t="s">
        <v>1081</v>
      </c>
      <c r="I460" s="43" t="str">
        <f t="shared" si="34"/>
        <v>电气</v>
      </c>
      <c r="J460" s="44" t="str">
        <f t="shared" si="35"/>
        <v>电气 测温电缆光缆主机</v>
      </c>
      <c r="K460" s="43">
        <f>COUNTIF($J$2:J460,J460)</f>
        <v>1</v>
      </c>
    </row>
    <row r="461" spans="1:11">
      <c r="A461" s="47">
        <v>453</v>
      </c>
      <c r="B461" s="47">
        <f>IF(K461=1,COUNTIF($D$2:D461,D461),"")</f>
        <v>154</v>
      </c>
      <c r="C461" s="49" t="s">
        <v>120</v>
      </c>
      <c r="D461" s="47" t="s">
        <v>122</v>
      </c>
      <c r="E461" s="49" t="s">
        <v>1005</v>
      </c>
      <c r="F461" s="60" t="s">
        <v>1065</v>
      </c>
      <c r="G461" s="49" t="s">
        <v>1082</v>
      </c>
      <c r="H461" s="47" t="s">
        <v>1083</v>
      </c>
      <c r="I461" s="43" t="str">
        <f t="shared" si="34"/>
        <v>电气</v>
      </c>
      <c r="J461" s="44" t="str">
        <f t="shared" si="35"/>
        <v>电气 温度变送器</v>
      </c>
      <c r="K461" s="43">
        <f>COUNTIF($J$2:J461,J461)</f>
        <v>1</v>
      </c>
    </row>
    <row r="462" spans="1:11">
      <c r="A462" s="47">
        <v>454</v>
      </c>
      <c r="B462" s="47">
        <f>IF(K462=1,COUNTIF($D$2:D462,D462),"")</f>
        <v>155</v>
      </c>
      <c r="C462" s="49" t="s">
        <v>120</v>
      </c>
      <c r="D462" s="47" t="s">
        <v>122</v>
      </c>
      <c r="E462" s="49" t="s">
        <v>1005</v>
      </c>
      <c r="F462" s="60" t="s">
        <v>1065</v>
      </c>
      <c r="G462" s="49" t="s">
        <v>1084</v>
      </c>
      <c r="H462" s="47" t="s">
        <v>1085</v>
      </c>
      <c r="I462" s="43" t="str">
        <f t="shared" si="34"/>
        <v>电气</v>
      </c>
      <c r="J462" s="44" t="str">
        <f t="shared" si="35"/>
        <v>电气 温湿度变送器</v>
      </c>
      <c r="K462" s="43">
        <f>COUNTIF($J$2:J462,J462)</f>
        <v>1</v>
      </c>
    </row>
    <row r="463" spans="1:11">
      <c r="A463" s="47">
        <v>455</v>
      </c>
      <c r="B463" s="47">
        <f>IF(K463=1,COUNTIF($D$2:D463,D463),"")</f>
        <v>156</v>
      </c>
      <c r="C463" s="49" t="s">
        <v>120</v>
      </c>
      <c r="D463" s="47" t="s">
        <v>122</v>
      </c>
      <c r="E463" s="49" t="s">
        <v>1005</v>
      </c>
      <c r="F463" s="49" t="s">
        <v>1086</v>
      </c>
      <c r="G463" s="60"/>
      <c r="H463" s="47" t="s">
        <v>1087</v>
      </c>
      <c r="I463" s="43" t="str">
        <f t="shared" si="34"/>
        <v>电气</v>
      </c>
      <c r="J463" s="44" t="str">
        <f t="shared" si="35"/>
        <v>电气 </v>
      </c>
      <c r="K463" s="43">
        <f>COUNTIF($J$2:J463,J463)</f>
        <v>1</v>
      </c>
    </row>
    <row r="464" spans="1:11">
      <c r="A464" s="47">
        <v>456</v>
      </c>
      <c r="B464" s="47">
        <f>IF(K464=1,COUNTIF($D$2:D464,D464),"")</f>
        <v>157</v>
      </c>
      <c r="C464" s="49" t="s">
        <v>120</v>
      </c>
      <c r="D464" s="47" t="s">
        <v>122</v>
      </c>
      <c r="E464" s="49" t="s">
        <v>1005</v>
      </c>
      <c r="F464" s="49" t="s">
        <v>1086</v>
      </c>
      <c r="G464" s="60" t="s">
        <v>1088</v>
      </c>
      <c r="H464" s="47" t="s">
        <v>1089</v>
      </c>
      <c r="I464" s="43" t="str">
        <f t="shared" si="34"/>
        <v>电气</v>
      </c>
      <c r="J464" s="44" t="str">
        <f t="shared" si="35"/>
        <v>电气 表压压力变送器</v>
      </c>
      <c r="K464" s="43">
        <f>COUNTIF($J$2:J464,J464)</f>
        <v>1</v>
      </c>
    </row>
    <row r="465" spans="1:11">
      <c r="A465" s="47">
        <v>457</v>
      </c>
      <c r="B465" s="47">
        <f>IF(K465=1,COUNTIF($D$2:D465,D465),"")</f>
        <v>158</v>
      </c>
      <c r="C465" s="49" t="s">
        <v>120</v>
      </c>
      <c r="D465" s="47" t="s">
        <v>122</v>
      </c>
      <c r="E465" s="49" t="s">
        <v>1005</v>
      </c>
      <c r="F465" s="49" t="s">
        <v>1086</v>
      </c>
      <c r="G465" s="60" t="s">
        <v>1090</v>
      </c>
      <c r="H465" s="47" t="s">
        <v>1091</v>
      </c>
      <c r="I465" s="43" t="str">
        <f t="shared" si="34"/>
        <v>电气</v>
      </c>
      <c r="J465" s="44" t="str">
        <f t="shared" si="35"/>
        <v>电气 绝压压力变送器</v>
      </c>
      <c r="K465" s="43">
        <f>COUNTIF($J$2:J465,J465)</f>
        <v>1</v>
      </c>
    </row>
    <row r="466" spans="1:11">
      <c r="A466" s="47">
        <v>458</v>
      </c>
      <c r="B466" s="47">
        <f>IF(K466=1,COUNTIF($D$2:D466,D466),"")</f>
        <v>159</v>
      </c>
      <c r="C466" s="49" t="s">
        <v>120</v>
      </c>
      <c r="D466" s="47" t="s">
        <v>122</v>
      </c>
      <c r="E466" s="49" t="s">
        <v>1005</v>
      </c>
      <c r="F466" s="49" t="s">
        <v>1086</v>
      </c>
      <c r="G466" s="60" t="s">
        <v>1092</v>
      </c>
      <c r="H466" s="47" t="s">
        <v>1093</v>
      </c>
      <c r="I466" s="43" t="str">
        <f t="shared" si="34"/>
        <v>电气</v>
      </c>
      <c r="J466" s="44" t="str">
        <f t="shared" si="35"/>
        <v>电气 差压压力变送器</v>
      </c>
      <c r="K466" s="43">
        <f>COUNTIF($J$2:J466,J466)</f>
        <v>1</v>
      </c>
    </row>
    <row r="467" spans="1:11">
      <c r="A467" s="47">
        <v>459</v>
      </c>
      <c r="B467" s="47">
        <f>IF(K467=1,COUNTIF($D$2:D467,D467),"")</f>
        <v>160</v>
      </c>
      <c r="C467" s="49" t="s">
        <v>120</v>
      </c>
      <c r="D467" s="47" t="s">
        <v>122</v>
      </c>
      <c r="E467" s="49" t="s">
        <v>1005</v>
      </c>
      <c r="F467" s="49" t="s">
        <v>1086</v>
      </c>
      <c r="G467" s="49" t="s">
        <v>1094</v>
      </c>
      <c r="H467" s="47" t="s">
        <v>1095</v>
      </c>
      <c r="I467" s="43" t="str">
        <f t="shared" si="34"/>
        <v>电气</v>
      </c>
      <c r="J467" s="44" t="str">
        <f t="shared" si="35"/>
        <v>电气 电接点压力表</v>
      </c>
      <c r="K467" s="43">
        <f>COUNTIF($J$2:J467,J467)</f>
        <v>1</v>
      </c>
    </row>
    <row r="468" spans="1:11">
      <c r="A468" s="47">
        <v>460</v>
      </c>
      <c r="B468" s="47">
        <f>IF(K468=1,COUNTIF($D$2:D468,D468),"")</f>
        <v>161</v>
      </c>
      <c r="C468" s="49" t="s">
        <v>120</v>
      </c>
      <c r="D468" s="47" t="s">
        <v>122</v>
      </c>
      <c r="E468" s="49" t="s">
        <v>1005</v>
      </c>
      <c r="F468" s="49" t="s">
        <v>1086</v>
      </c>
      <c r="G468" s="49" t="s">
        <v>1096</v>
      </c>
      <c r="H468" s="47" t="s">
        <v>1097</v>
      </c>
      <c r="I468" s="43" t="str">
        <f t="shared" si="34"/>
        <v>电气</v>
      </c>
      <c r="J468" s="44" t="str">
        <f t="shared" si="35"/>
        <v>电气 压力开关</v>
      </c>
      <c r="K468" s="43">
        <f>COUNTIF($J$2:J468,J468)</f>
        <v>1</v>
      </c>
    </row>
    <row r="469" spans="1:11">
      <c r="A469" s="47">
        <v>461</v>
      </c>
      <c r="B469" s="47">
        <f>IF(K469=1,COUNTIF($D$2:D469,D469),"")</f>
        <v>162</v>
      </c>
      <c r="C469" s="49" t="s">
        <v>120</v>
      </c>
      <c r="D469" s="47" t="s">
        <v>122</v>
      </c>
      <c r="E469" s="49" t="s">
        <v>1005</v>
      </c>
      <c r="F469" s="49" t="s">
        <v>1086</v>
      </c>
      <c r="G469" s="49" t="s">
        <v>1098</v>
      </c>
      <c r="H469" s="47" t="s">
        <v>1099</v>
      </c>
      <c r="I469" s="43" t="str">
        <f t="shared" si="34"/>
        <v>电气</v>
      </c>
      <c r="J469" s="44" t="str">
        <f t="shared" si="35"/>
        <v>电气 压差开关</v>
      </c>
      <c r="K469" s="43">
        <f>COUNTIF($J$2:J469,J469)</f>
        <v>1</v>
      </c>
    </row>
    <row r="470" spans="1:11">
      <c r="A470" s="47">
        <v>462</v>
      </c>
      <c r="B470" s="47">
        <f>IF(K470=1,COUNTIF($D$2:D470,D470),"")</f>
        <v>163</v>
      </c>
      <c r="C470" s="49" t="s">
        <v>120</v>
      </c>
      <c r="D470" s="47" t="s">
        <v>122</v>
      </c>
      <c r="E470" s="49" t="s">
        <v>1005</v>
      </c>
      <c r="F470" s="49" t="s">
        <v>1100</v>
      </c>
      <c r="G470" s="49" t="s">
        <v>1101</v>
      </c>
      <c r="H470" s="47" t="s">
        <v>1102</v>
      </c>
      <c r="I470" s="43" t="str">
        <f t="shared" si="34"/>
        <v>电气</v>
      </c>
      <c r="J470" s="44" t="str">
        <f t="shared" si="35"/>
        <v>电气 行程开关</v>
      </c>
      <c r="K470" s="43">
        <f>COUNTIF($J$2:J470,J470)</f>
        <v>1</v>
      </c>
    </row>
    <row r="471" spans="1:11">
      <c r="A471" s="47">
        <v>463</v>
      </c>
      <c r="B471" s="47">
        <f>IF(K471=1,COUNTIF($D$2:D471,D471),"")</f>
        <v>164</v>
      </c>
      <c r="C471" s="49" t="s">
        <v>120</v>
      </c>
      <c r="D471" s="47" t="s">
        <v>122</v>
      </c>
      <c r="E471" s="49" t="s">
        <v>1005</v>
      </c>
      <c r="F471" s="49" t="s">
        <v>1100</v>
      </c>
      <c r="G471" s="49" t="s">
        <v>1103</v>
      </c>
      <c r="H471" s="47" t="s">
        <v>1104</v>
      </c>
      <c r="I471" s="43" t="str">
        <f t="shared" si="34"/>
        <v>电气</v>
      </c>
      <c r="J471" s="44" t="str">
        <f t="shared" si="35"/>
        <v>电气 电容式接近开关</v>
      </c>
      <c r="K471" s="43">
        <f>COUNTIF($J$2:J471,J471)</f>
        <v>1</v>
      </c>
    </row>
    <row r="472" spans="1:11">
      <c r="A472" s="47">
        <v>464</v>
      </c>
      <c r="B472" s="47">
        <f>IF(K472=1,COUNTIF($D$2:D472,D472),"")</f>
        <v>165</v>
      </c>
      <c r="C472" s="49" t="s">
        <v>120</v>
      </c>
      <c r="D472" s="47" t="s">
        <v>122</v>
      </c>
      <c r="E472" s="49" t="s">
        <v>1005</v>
      </c>
      <c r="F472" s="49" t="s">
        <v>1100</v>
      </c>
      <c r="G472" s="49" t="s">
        <v>1105</v>
      </c>
      <c r="H472" s="47" t="s">
        <v>1106</v>
      </c>
      <c r="I472" s="43" t="str">
        <f t="shared" si="34"/>
        <v>电气</v>
      </c>
      <c r="J472" s="44" t="str">
        <f t="shared" si="35"/>
        <v>电气 电感式接近开关</v>
      </c>
      <c r="K472" s="43">
        <f>COUNTIF($J$2:J472,J472)</f>
        <v>1</v>
      </c>
    </row>
    <row r="473" spans="1:11">
      <c r="A473" s="47">
        <v>465</v>
      </c>
      <c r="B473" s="47">
        <f>IF(K473=1,COUNTIF($D$2:D473,D473),"")</f>
        <v>166</v>
      </c>
      <c r="C473" s="49" t="s">
        <v>120</v>
      </c>
      <c r="D473" s="47" t="s">
        <v>122</v>
      </c>
      <c r="E473" s="49" t="s">
        <v>1005</v>
      </c>
      <c r="F473" s="49" t="s">
        <v>1100</v>
      </c>
      <c r="G473" s="49" t="s">
        <v>1107</v>
      </c>
      <c r="H473" s="47" t="s">
        <v>1108</v>
      </c>
      <c r="I473" s="43" t="str">
        <f t="shared" si="34"/>
        <v>电气</v>
      </c>
      <c r="J473" s="44" t="str">
        <f t="shared" si="35"/>
        <v>电气 光电开关</v>
      </c>
      <c r="K473" s="43">
        <f>COUNTIF($J$2:J473,J473)</f>
        <v>1</v>
      </c>
    </row>
    <row r="474" spans="1:11">
      <c r="A474" s="47">
        <v>466</v>
      </c>
      <c r="B474" s="47">
        <f>IF(K474=1,COUNTIF($D$2:D474,D474),"")</f>
        <v>167</v>
      </c>
      <c r="C474" s="49" t="s">
        <v>120</v>
      </c>
      <c r="D474" s="47" t="s">
        <v>122</v>
      </c>
      <c r="E474" s="49" t="s">
        <v>1005</v>
      </c>
      <c r="F474" s="49" t="s">
        <v>1100</v>
      </c>
      <c r="G474" s="49" t="s">
        <v>1109</v>
      </c>
      <c r="H474" s="47" t="s">
        <v>1110</v>
      </c>
      <c r="I474" s="43" t="str">
        <f t="shared" ref="I474:I537" si="36">IF(COUNTA(C474)=1,C474,I473)</f>
        <v>电气</v>
      </c>
      <c r="J474" s="44" t="str">
        <f t="shared" ref="J474:J537" si="37">CONCATENATE(I474," ",G474)</f>
        <v>电气 拉绳开关</v>
      </c>
      <c r="K474" s="43">
        <f>COUNTIF($J$2:J474,J474)</f>
        <v>1</v>
      </c>
    </row>
    <row r="475" spans="1:11">
      <c r="A475" s="47">
        <v>467</v>
      </c>
      <c r="B475" s="47">
        <f>IF(K475=1,COUNTIF($D$2:D475,D475),"")</f>
        <v>168</v>
      </c>
      <c r="C475" s="49" t="s">
        <v>120</v>
      </c>
      <c r="D475" s="47" t="s">
        <v>122</v>
      </c>
      <c r="E475" s="49" t="s">
        <v>1005</v>
      </c>
      <c r="F475" s="49" t="s">
        <v>1100</v>
      </c>
      <c r="G475" s="49" t="s">
        <v>1111</v>
      </c>
      <c r="H475" s="47" t="s">
        <v>1112</v>
      </c>
      <c r="I475" s="43" t="str">
        <f t="shared" si="36"/>
        <v>电气</v>
      </c>
      <c r="J475" s="44" t="str">
        <f t="shared" si="37"/>
        <v>电气 其它类型的位置开关</v>
      </c>
      <c r="K475" s="43">
        <f>COUNTIF($J$2:J475,J475)</f>
        <v>1</v>
      </c>
    </row>
    <row r="476" spans="1:11">
      <c r="A476" s="47">
        <v>468</v>
      </c>
      <c r="B476" s="47">
        <f>IF(K476=1,COUNTIF($D$2:D476,D476),"")</f>
        <v>169</v>
      </c>
      <c r="C476" s="49" t="s">
        <v>120</v>
      </c>
      <c r="D476" s="47" t="s">
        <v>122</v>
      </c>
      <c r="E476" s="49" t="s">
        <v>1005</v>
      </c>
      <c r="F476" s="49" t="s">
        <v>1113</v>
      </c>
      <c r="G476" s="49" t="s">
        <v>1114</v>
      </c>
      <c r="H476" s="47" t="s">
        <v>1115</v>
      </c>
      <c r="I476" s="43" t="str">
        <f t="shared" si="36"/>
        <v>电气</v>
      </c>
      <c r="J476" s="44" t="str">
        <f t="shared" si="37"/>
        <v>电气 称重传感器</v>
      </c>
      <c r="K476" s="43">
        <f>COUNTIF($J$2:J476,J476)</f>
        <v>1</v>
      </c>
    </row>
    <row r="477" spans="1:11">
      <c r="A477" s="47">
        <v>469</v>
      </c>
      <c r="B477" s="47">
        <f>IF(K477=1,COUNTIF($D$2:D477,D477),"")</f>
        <v>170</v>
      </c>
      <c r="C477" s="49" t="s">
        <v>120</v>
      </c>
      <c r="D477" s="47" t="s">
        <v>122</v>
      </c>
      <c r="E477" s="49" t="s">
        <v>1005</v>
      </c>
      <c r="F477" s="49" t="s">
        <v>1113</v>
      </c>
      <c r="G477" s="49" t="s">
        <v>1116</v>
      </c>
      <c r="H477" s="47" t="s">
        <v>1117</v>
      </c>
      <c r="I477" s="43" t="str">
        <f t="shared" si="36"/>
        <v>电气</v>
      </c>
      <c r="J477" s="44" t="str">
        <f t="shared" si="37"/>
        <v>电气 称重仪表</v>
      </c>
      <c r="K477" s="43">
        <f>COUNTIF($J$2:J477,J477)</f>
        <v>1</v>
      </c>
    </row>
    <row r="478" spans="1:11">
      <c r="A478" s="47">
        <v>470</v>
      </c>
      <c r="B478" s="47">
        <f>IF(K478=1,COUNTIF($D$2:D478,D478),"")</f>
        <v>171</v>
      </c>
      <c r="C478" s="49" t="s">
        <v>120</v>
      </c>
      <c r="D478" s="47" t="s">
        <v>122</v>
      </c>
      <c r="E478" s="49" t="s">
        <v>1005</v>
      </c>
      <c r="F478" s="49" t="s">
        <v>1113</v>
      </c>
      <c r="G478" s="49" t="s">
        <v>1118</v>
      </c>
      <c r="H478" s="47" t="s">
        <v>1119</v>
      </c>
      <c r="I478" s="43" t="str">
        <f t="shared" si="36"/>
        <v>电气</v>
      </c>
      <c r="J478" s="44" t="str">
        <f t="shared" si="37"/>
        <v>电气 称重装置辅件</v>
      </c>
      <c r="K478" s="43">
        <f>COUNTIF($J$2:J478,J478)</f>
        <v>1</v>
      </c>
    </row>
    <row r="479" spans="1:11">
      <c r="A479" s="47">
        <v>471</v>
      </c>
      <c r="B479" s="47">
        <f>IF(K479=1,COUNTIF($D$2:D479,D479),"")</f>
        <v>172</v>
      </c>
      <c r="C479" s="49" t="s">
        <v>120</v>
      </c>
      <c r="D479" s="47" t="s">
        <v>122</v>
      </c>
      <c r="E479" s="49" t="s">
        <v>1005</v>
      </c>
      <c r="F479" s="49" t="s">
        <v>1120</v>
      </c>
      <c r="G479" s="49" t="s">
        <v>1121</v>
      </c>
      <c r="H479" s="47" t="s">
        <v>1122</v>
      </c>
      <c r="I479" s="43" t="str">
        <f t="shared" si="36"/>
        <v>电气</v>
      </c>
      <c r="J479" s="44" t="str">
        <f t="shared" si="37"/>
        <v>电气 振动加速度传感器</v>
      </c>
      <c r="K479" s="43">
        <f>COUNTIF($J$2:J479,J479)</f>
        <v>1</v>
      </c>
    </row>
    <row r="480" spans="1:11">
      <c r="A480" s="47">
        <v>472</v>
      </c>
      <c r="B480" s="47">
        <f>IF(K480=1,COUNTIF($D$2:D480,D480),"")</f>
        <v>173</v>
      </c>
      <c r="C480" s="49" t="s">
        <v>120</v>
      </c>
      <c r="D480" s="47" t="s">
        <v>122</v>
      </c>
      <c r="E480" s="49" t="s">
        <v>1005</v>
      </c>
      <c r="F480" s="49" t="s">
        <v>1123</v>
      </c>
      <c r="G480" s="49" t="s">
        <v>1124</v>
      </c>
      <c r="H480" s="47" t="s">
        <v>1125</v>
      </c>
      <c r="I480" s="43" t="str">
        <f t="shared" si="36"/>
        <v>电气</v>
      </c>
      <c r="J480" s="44" t="str">
        <f t="shared" si="37"/>
        <v>电气 可燃气体LEL监测</v>
      </c>
      <c r="K480" s="43">
        <f>COUNTIF($J$2:J480,J480)</f>
        <v>1</v>
      </c>
    </row>
    <row r="481" spans="1:11">
      <c r="A481" s="47">
        <v>473</v>
      </c>
      <c r="B481" s="47">
        <f>IF(K481=1,COUNTIF($D$2:D481,D481),"")</f>
        <v>174</v>
      </c>
      <c r="C481" s="49" t="s">
        <v>120</v>
      </c>
      <c r="D481" s="47" t="s">
        <v>122</v>
      </c>
      <c r="E481" s="49" t="s">
        <v>1005</v>
      </c>
      <c r="F481" s="49" t="s">
        <v>1123</v>
      </c>
      <c r="G481" s="49" t="s">
        <v>1126</v>
      </c>
      <c r="H481" s="47" t="s">
        <v>1127</v>
      </c>
      <c r="I481" s="43" t="str">
        <f t="shared" si="36"/>
        <v>电气</v>
      </c>
      <c r="J481" s="44" t="str">
        <f t="shared" si="37"/>
        <v>电气 有毒气体检测</v>
      </c>
      <c r="K481" s="43">
        <f>COUNTIF($J$2:J481,J481)</f>
        <v>1</v>
      </c>
    </row>
    <row r="482" spans="1:11">
      <c r="A482" s="47">
        <v>474</v>
      </c>
      <c r="B482" s="47">
        <f>IF(K482=1,COUNTIF($D$2:D482,D482),"")</f>
        <v>175</v>
      </c>
      <c r="C482" s="49" t="s">
        <v>120</v>
      </c>
      <c r="D482" s="47" t="s">
        <v>122</v>
      </c>
      <c r="E482" s="49" t="s">
        <v>1005</v>
      </c>
      <c r="F482" s="49" t="s">
        <v>1128</v>
      </c>
      <c r="G482" s="49" t="s">
        <v>1129</v>
      </c>
      <c r="H482" s="47" t="s">
        <v>1130</v>
      </c>
      <c r="I482" s="43" t="str">
        <f t="shared" si="36"/>
        <v>电气</v>
      </c>
      <c r="J482" s="44" t="str">
        <f t="shared" si="37"/>
        <v>电气 火花探测器</v>
      </c>
      <c r="K482" s="43">
        <f>COUNTIF($J$2:J482,J482)</f>
        <v>1</v>
      </c>
    </row>
    <row r="483" spans="1:11">
      <c r="A483" s="47">
        <v>475</v>
      </c>
      <c r="B483" s="47">
        <f>IF(K483=1,COUNTIF($D$2:D483,D483),"")</f>
        <v>176</v>
      </c>
      <c r="C483" s="49" t="s">
        <v>120</v>
      </c>
      <c r="D483" s="47" t="s">
        <v>122</v>
      </c>
      <c r="E483" s="49" t="s">
        <v>1005</v>
      </c>
      <c r="F483" s="49" t="s">
        <v>1131</v>
      </c>
      <c r="G483" s="49" t="s">
        <v>1132</v>
      </c>
      <c r="H483" s="47" t="s">
        <v>1133</v>
      </c>
      <c r="I483" s="43" t="str">
        <f t="shared" si="36"/>
        <v>电气</v>
      </c>
      <c r="J483" s="44" t="str">
        <f t="shared" si="37"/>
        <v>电气 PH测量</v>
      </c>
      <c r="K483" s="43">
        <f>COUNTIF($J$2:J483,J483)</f>
        <v>1</v>
      </c>
    </row>
    <row r="484" spans="1:11">
      <c r="A484" s="47">
        <v>476</v>
      </c>
      <c r="B484" s="47">
        <f>IF(K484=1,COUNTIF($D$2:D484,D484),"")</f>
        <v>177</v>
      </c>
      <c r="C484" s="49" t="s">
        <v>120</v>
      </c>
      <c r="D484" s="47" t="s">
        <v>122</v>
      </c>
      <c r="E484" s="49" t="s">
        <v>1005</v>
      </c>
      <c r="F484" s="49" t="s">
        <v>1131</v>
      </c>
      <c r="G484" s="49" t="s">
        <v>1134</v>
      </c>
      <c r="H484" s="47" t="s">
        <v>1135</v>
      </c>
      <c r="I484" s="43" t="str">
        <f t="shared" si="36"/>
        <v>电气</v>
      </c>
      <c r="J484" s="44" t="str">
        <f t="shared" si="37"/>
        <v>电气 电导率测量</v>
      </c>
      <c r="K484" s="43">
        <f>COUNTIF($J$2:J484,J484)</f>
        <v>1</v>
      </c>
    </row>
    <row r="485" spans="1:11">
      <c r="A485" s="47">
        <v>477</v>
      </c>
      <c r="B485" s="47">
        <f>IF(K485=1,COUNTIF($D$2:D485,D485),"")</f>
        <v>178</v>
      </c>
      <c r="C485" s="49" t="s">
        <v>120</v>
      </c>
      <c r="D485" s="47" t="s">
        <v>122</v>
      </c>
      <c r="E485" s="49" t="s">
        <v>1005</v>
      </c>
      <c r="F485" s="49" t="s">
        <v>1131</v>
      </c>
      <c r="G485" s="49" t="s">
        <v>1136</v>
      </c>
      <c r="H485" s="47" t="s">
        <v>1137</v>
      </c>
      <c r="I485" s="43" t="str">
        <f t="shared" si="36"/>
        <v>电气</v>
      </c>
      <c r="J485" s="44" t="str">
        <f t="shared" si="37"/>
        <v>电气 溶氧测量</v>
      </c>
      <c r="K485" s="43">
        <f>COUNTIF($J$2:J485,J485)</f>
        <v>1</v>
      </c>
    </row>
    <row r="486" spans="1:11">
      <c r="A486" s="47">
        <v>478</v>
      </c>
      <c r="B486" s="47">
        <f>IF(K486=1,COUNTIF($D$2:D486,D486),"")</f>
        <v>179</v>
      </c>
      <c r="C486" s="49" t="s">
        <v>120</v>
      </c>
      <c r="D486" s="47" t="s">
        <v>122</v>
      </c>
      <c r="E486" s="49" t="s">
        <v>1005</v>
      </c>
      <c r="F486" s="49" t="s">
        <v>1131</v>
      </c>
      <c r="G486" s="49" t="s">
        <v>1138</v>
      </c>
      <c r="H486" s="47" t="s">
        <v>1139</v>
      </c>
      <c r="I486" s="43" t="str">
        <f t="shared" si="36"/>
        <v>电气</v>
      </c>
      <c r="J486" s="44" t="str">
        <f t="shared" si="37"/>
        <v>电气 在线分析仪</v>
      </c>
      <c r="K486" s="43">
        <f>COUNTIF($J$2:J486,J486)</f>
        <v>1</v>
      </c>
    </row>
    <row r="487" spans="1:11">
      <c r="A487" s="47">
        <v>479</v>
      </c>
      <c r="B487" s="47">
        <f>IF(K487=1,COUNTIF($D$2:D487,D487),"")</f>
        <v>180</v>
      </c>
      <c r="C487" s="49" t="s">
        <v>120</v>
      </c>
      <c r="D487" s="47" t="s">
        <v>122</v>
      </c>
      <c r="E487" s="49" t="s">
        <v>1005</v>
      </c>
      <c r="F487" s="49" t="s">
        <v>1140</v>
      </c>
      <c r="G487" s="49" t="s">
        <v>1141</v>
      </c>
      <c r="H487" s="47" t="s">
        <v>1142</v>
      </c>
      <c r="I487" s="43" t="str">
        <f t="shared" si="36"/>
        <v>电气</v>
      </c>
      <c r="J487" s="44" t="str">
        <f t="shared" si="37"/>
        <v>电气 粉尘浓度检测</v>
      </c>
      <c r="K487" s="43">
        <f>COUNTIF($J$2:J487,J487)</f>
        <v>1</v>
      </c>
    </row>
    <row r="488" spans="1:11">
      <c r="A488" s="47">
        <v>480</v>
      </c>
      <c r="B488" s="47">
        <f>IF(K488=1,COUNTIF($D$2:D488,D488),"")</f>
        <v>181</v>
      </c>
      <c r="C488" s="49" t="s">
        <v>120</v>
      </c>
      <c r="D488" s="47" t="s">
        <v>122</v>
      </c>
      <c r="E488" s="49" t="s">
        <v>1005</v>
      </c>
      <c r="F488" s="49" t="s">
        <v>1143</v>
      </c>
      <c r="G488" s="49" t="s">
        <v>1144</v>
      </c>
      <c r="H488" s="47" t="s">
        <v>1145</v>
      </c>
      <c r="I488" s="43" t="str">
        <f t="shared" si="36"/>
        <v>电气</v>
      </c>
      <c r="J488" s="44" t="str">
        <f t="shared" si="37"/>
        <v>电气 密度计</v>
      </c>
      <c r="K488" s="43">
        <f>COUNTIF($J$2:J488,J488)</f>
        <v>1</v>
      </c>
    </row>
    <row r="489" spans="1:11">
      <c r="A489" s="47">
        <v>481</v>
      </c>
      <c r="B489" s="47">
        <f>IF(K489=1,COUNTIF($D$2:D489,D489),"")</f>
        <v>182</v>
      </c>
      <c r="C489" s="49" t="s">
        <v>120</v>
      </c>
      <c r="D489" s="47" t="s">
        <v>122</v>
      </c>
      <c r="E489" s="49" t="s">
        <v>1005</v>
      </c>
      <c r="F489" s="49" t="s">
        <v>1146</v>
      </c>
      <c r="G489" s="49" t="s">
        <v>1147</v>
      </c>
      <c r="H489" s="47" t="s">
        <v>1148</v>
      </c>
      <c r="I489" s="43" t="str">
        <f t="shared" si="36"/>
        <v>电气</v>
      </c>
      <c r="J489" s="44" t="str">
        <f t="shared" si="37"/>
        <v>电气 安装法兰</v>
      </c>
      <c r="K489" s="43">
        <f>COUNTIF($J$2:J489,J489)</f>
        <v>1</v>
      </c>
    </row>
    <row r="490" spans="1:11">
      <c r="A490" s="47">
        <v>482</v>
      </c>
      <c r="B490" s="47">
        <f>IF(K490=1,COUNTIF($D$2:D490,D490),"")</f>
        <v>183</v>
      </c>
      <c r="C490" s="49" t="s">
        <v>120</v>
      </c>
      <c r="D490" s="47" t="s">
        <v>122</v>
      </c>
      <c r="E490" s="49" t="s">
        <v>1005</v>
      </c>
      <c r="F490" s="49" t="s">
        <v>1146</v>
      </c>
      <c r="G490" s="49" t="s">
        <v>1149</v>
      </c>
      <c r="H490" s="47" t="s">
        <v>1150</v>
      </c>
      <c r="I490" s="43" t="str">
        <f t="shared" si="36"/>
        <v>电气</v>
      </c>
      <c r="J490" s="44" t="str">
        <f t="shared" si="37"/>
        <v>电气 焊接底座</v>
      </c>
      <c r="K490" s="43">
        <f>COUNTIF($J$2:J490,J490)</f>
        <v>1</v>
      </c>
    </row>
    <row r="491" spans="1:11">
      <c r="A491" s="47">
        <v>483</v>
      </c>
      <c r="B491" s="47">
        <f>IF(K491=1,COUNTIF($D$2:D491,D491),"")</f>
        <v>184</v>
      </c>
      <c r="C491" s="49" t="s">
        <v>120</v>
      </c>
      <c r="D491" s="47" t="s">
        <v>122</v>
      </c>
      <c r="E491" s="49" t="s">
        <v>1005</v>
      </c>
      <c r="F491" s="49" t="s">
        <v>1146</v>
      </c>
      <c r="G491" s="49" t="s">
        <v>1151</v>
      </c>
      <c r="H491" s="47" t="s">
        <v>1152</v>
      </c>
      <c r="I491" s="43" t="str">
        <f t="shared" si="36"/>
        <v>电气</v>
      </c>
      <c r="J491" s="44" t="str">
        <f t="shared" si="37"/>
        <v>电气 固定支架</v>
      </c>
      <c r="K491" s="43">
        <f>COUNTIF($J$2:J491,J491)</f>
        <v>1</v>
      </c>
    </row>
    <row r="492" spans="1:11">
      <c r="A492" s="47">
        <v>484</v>
      </c>
      <c r="B492" s="47">
        <f>IF(K492=1,COUNTIF($D$2:D492,D492),"")</f>
        <v>185</v>
      </c>
      <c r="C492" s="49" t="s">
        <v>120</v>
      </c>
      <c r="D492" s="47" t="s">
        <v>122</v>
      </c>
      <c r="E492" s="49" t="s">
        <v>1005</v>
      </c>
      <c r="F492" s="49" t="s">
        <v>1146</v>
      </c>
      <c r="G492" s="49" t="s">
        <v>1153</v>
      </c>
      <c r="H492" s="47" t="s">
        <v>1154</v>
      </c>
      <c r="I492" s="43" t="str">
        <f t="shared" si="36"/>
        <v>电气</v>
      </c>
      <c r="J492" s="44" t="str">
        <f t="shared" si="37"/>
        <v>电气 压力传感器取压组件</v>
      </c>
      <c r="K492" s="43">
        <f>COUNTIF($J$2:J492,J492)</f>
        <v>1</v>
      </c>
    </row>
    <row r="493" spans="1:11">
      <c r="A493" s="47">
        <v>485</v>
      </c>
      <c r="B493" s="47">
        <f>IF(K493=1,COUNTIF($D$2:D493,D493),"")</f>
        <v>186</v>
      </c>
      <c r="C493" s="49" t="s">
        <v>120</v>
      </c>
      <c r="D493" s="47" t="s">
        <v>122</v>
      </c>
      <c r="E493" s="49" t="s">
        <v>1005</v>
      </c>
      <c r="F493" s="49" t="s">
        <v>1155</v>
      </c>
      <c r="G493" s="49" t="s">
        <v>1155</v>
      </c>
      <c r="H493" s="47" t="s">
        <v>1156</v>
      </c>
      <c r="I493" s="43" t="str">
        <f t="shared" si="36"/>
        <v>电气</v>
      </c>
      <c r="J493" s="44" t="str">
        <f t="shared" si="37"/>
        <v>电气 其它类型的传感器</v>
      </c>
      <c r="K493" s="43">
        <f>COUNTIF($J$2:J493,J493)</f>
        <v>1</v>
      </c>
    </row>
    <row r="494" spans="1:11">
      <c r="A494" s="47">
        <v>486</v>
      </c>
      <c r="B494" s="47">
        <f>IF(K494=1,COUNTIF($D$2:D494,D494),"")</f>
        <v>187</v>
      </c>
      <c r="C494" s="49" t="s">
        <v>120</v>
      </c>
      <c r="D494" s="47" t="s">
        <v>122</v>
      </c>
      <c r="E494" s="49" t="s">
        <v>1157</v>
      </c>
      <c r="F494" s="49" t="s">
        <v>1158</v>
      </c>
      <c r="G494" s="49" t="s">
        <v>1159</v>
      </c>
      <c r="H494" s="47" t="s">
        <v>1160</v>
      </c>
      <c r="I494" s="43" t="str">
        <f t="shared" si="36"/>
        <v>电气</v>
      </c>
      <c r="J494" s="44" t="str">
        <f t="shared" si="37"/>
        <v>电气 气动开关球阀</v>
      </c>
      <c r="K494" s="43">
        <f>COUNTIF($J$2:J494,J494)</f>
        <v>1</v>
      </c>
    </row>
    <row r="495" spans="1:11">
      <c r="A495" s="47">
        <v>487</v>
      </c>
      <c r="B495" s="47">
        <f>IF(K495=1,COUNTIF($D$2:D495,D495),"")</f>
        <v>188</v>
      </c>
      <c r="C495" s="49" t="s">
        <v>120</v>
      </c>
      <c r="D495" s="47" t="s">
        <v>122</v>
      </c>
      <c r="E495" s="49" t="s">
        <v>1157</v>
      </c>
      <c r="F495" s="49" t="s">
        <v>1158</v>
      </c>
      <c r="G495" s="49" t="s">
        <v>1161</v>
      </c>
      <c r="H495" s="47" t="s">
        <v>1162</v>
      </c>
      <c r="I495" s="43" t="str">
        <f t="shared" si="36"/>
        <v>电气</v>
      </c>
      <c r="J495" s="44" t="str">
        <f t="shared" si="37"/>
        <v>电气 气动开关V型球阀</v>
      </c>
      <c r="K495" s="43">
        <f>COUNTIF($J$2:J495,J495)</f>
        <v>1</v>
      </c>
    </row>
    <row r="496" spans="1:11">
      <c r="A496" s="47">
        <v>488</v>
      </c>
      <c r="B496" s="47">
        <f>IF(K496=1,COUNTIF($D$2:D496,D496),"")</f>
        <v>189</v>
      </c>
      <c r="C496" s="49" t="s">
        <v>120</v>
      </c>
      <c r="D496" s="47" t="s">
        <v>122</v>
      </c>
      <c r="E496" s="49" t="s">
        <v>1157</v>
      </c>
      <c r="F496" s="49" t="s">
        <v>1158</v>
      </c>
      <c r="G496" s="49" t="s">
        <v>1163</v>
      </c>
      <c r="H496" s="47" t="s">
        <v>1164</v>
      </c>
      <c r="I496" s="43" t="str">
        <f t="shared" si="36"/>
        <v>电气</v>
      </c>
      <c r="J496" s="44" t="str">
        <f t="shared" si="37"/>
        <v>电气 气动开关三通球阀</v>
      </c>
      <c r="K496" s="43">
        <f>COUNTIF($J$2:J496,J496)</f>
        <v>1</v>
      </c>
    </row>
    <row r="497" spans="1:11">
      <c r="A497" s="47">
        <v>489</v>
      </c>
      <c r="B497" s="47">
        <f>IF(K497=1,COUNTIF($D$2:D497,D497),"")</f>
        <v>190</v>
      </c>
      <c r="C497" s="49" t="s">
        <v>120</v>
      </c>
      <c r="D497" s="47" t="s">
        <v>122</v>
      </c>
      <c r="E497" s="49" t="s">
        <v>1157</v>
      </c>
      <c r="F497" s="49" t="s">
        <v>1158</v>
      </c>
      <c r="G497" s="49" t="s">
        <v>1165</v>
      </c>
      <c r="H497" s="47" t="s">
        <v>1166</v>
      </c>
      <c r="I497" s="43" t="str">
        <f t="shared" si="36"/>
        <v>电气</v>
      </c>
      <c r="J497" s="44" t="str">
        <f t="shared" si="37"/>
        <v>电气 气动开关蝶阀</v>
      </c>
      <c r="K497" s="43">
        <f>COUNTIF($J$2:J497,J497)</f>
        <v>1</v>
      </c>
    </row>
    <row r="498" spans="1:11">
      <c r="A498" s="47">
        <v>490</v>
      </c>
      <c r="B498" s="47">
        <f>IF(K498=1,COUNTIF($D$2:D498,D498),"")</f>
        <v>191</v>
      </c>
      <c r="C498" s="49" t="s">
        <v>120</v>
      </c>
      <c r="D498" s="47" t="s">
        <v>122</v>
      </c>
      <c r="E498" s="49" t="s">
        <v>1157</v>
      </c>
      <c r="F498" s="49" t="s">
        <v>1158</v>
      </c>
      <c r="G498" s="49" t="s">
        <v>1167</v>
      </c>
      <c r="H498" s="47" t="s">
        <v>1168</v>
      </c>
      <c r="I498" s="43" t="str">
        <f t="shared" si="36"/>
        <v>电气</v>
      </c>
      <c r="J498" s="44" t="str">
        <f t="shared" si="37"/>
        <v>电气 气动开关闸板阀</v>
      </c>
      <c r="K498" s="43">
        <f>COUNTIF($J$2:J498,J498)</f>
        <v>1</v>
      </c>
    </row>
    <row r="499" spans="1:11">
      <c r="A499" s="47">
        <v>491</v>
      </c>
      <c r="B499" s="47">
        <f>IF(K499=1,COUNTIF($D$2:D499,D499),"")</f>
        <v>192</v>
      </c>
      <c r="C499" s="49" t="s">
        <v>120</v>
      </c>
      <c r="D499" s="47" t="s">
        <v>122</v>
      </c>
      <c r="E499" s="49" t="s">
        <v>1157</v>
      </c>
      <c r="F499" s="49" t="s">
        <v>1158</v>
      </c>
      <c r="G499" s="49" t="s">
        <v>1169</v>
      </c>
      <c r="H499" s="47" t="s">
        <v>1170</v>
      </c>
      <c r="I499" s="43" t="str">
        <f t="shared" si="36"/>
        <v>电气</v>
      </c>
      <c r="J499" s="44" t="str">
        <f t="shared" si="37"/>
        <v>电气 气动开关角座阀</v>
      </c>
      <c r="K499" s="43">
        <f>COUNTIF($J$2:J499,J499)</f>
        <v>1</v>
      </c>
    </row>
    <row r="500" spans="1:11">
      <c r="A500" s="47">
        <v>492</v>
      </c>
      <c r="B500" s="47">
        <f>IF(K500=1,COUNTIF($D$2:D500,D500),"")</f>
        <v>193</v>
      </c>
      <c r="C500" s="49" t="s">
        <v>120</v>
      </c>
      <c r="D500" s="47" t="s">
        <v>122</v>
      </c>
      <c r="E500" s="49" t="s">
        <v>1157</v>
      </c>
      <c r="F500" s="49" t="s">
        <v>1158</v>
      </c>
      <c r="G500" s="49" t="s">
        <v>1171</v>
      </c>
      <c r="H500" s="47" t="s">
        <v>1172</v>
      </c>
      <c r="I500" s="43" t="str">
        <f t="shared" si="36"/>
        <v>电气</v>
      </c>
      <c r="J500" s="44" t="str">
        <f t="shared" si="37"/>
        <v>电气 气动开关隔膜阀</v>
      </c>
      <c r="K500" s="43">
        <f>COUNTIF($J$2:J500,J500)</f>
        <v>1</v>
      </c>
    </row>
    <row r="501" spans="1:11">
      <c r="A501" s="47">
        <v>493</v>
      </c>
      <c r="B501" s="47">
        <f>IF(K501=1,COUNTIF($D$2:D501,D501),"")</f>
        <v>194</v>
      </c>
      <c r="C501" s="49" t="s">
        <v>120</v>
      </c>
      <c r="D501" s="47" t="s">
        <v>122</v>
      </c>
      <c r="E501" s="49" t="s">
        <v>1157</v>
      </c>
      <c r="F501" s="49" t="s">
        <v>1173</v>
      </c>
      <c r="G501" s="49" t="s">
        <v>700</v>
      </c>
      <c r="H501" s="47" t="s">
        <v>1174</v>
      </c>
      <c r="I501" s="43" t="str">
        <f t="shared" si="36"/>
        <v>电气</v>
      </c>
      <c r="J501" s="44" t="str">
        <f t="shared" si="37"/>
        <v>电气 气动薄膜调节阀</v>
      </c>
      <c r="K501" s="43">
        <f>COUNTIF($J$2:J501,J501)</f>
        <v>1</v>
      </c>
    </row>
    <row r="502" spans="1:11">
      <c r="A502" s="47">
        <v>494</v>
      </c>
      <c r="B502" s="47">
        <f>IF(K502=1,COUNTIF($D$2:D502,D502),"")</f>
        <v>195</v>
      </c>
      <c r="C502" s="49" t="s">
        <v>120</v>
      </c>
      <c r="D502" s="47" t="s">
        <v>122</v>
      </c>
      <c r="E502" s="49" t="s">
        <v>1157</v>
      </c>
      <c r="F502" s="49" t="s">
        <v>1173</v>
      </c>
      <c r="G502" s="49" t="s">
        <v>1175</v>
      </c>
      <c r="H502" s="47" t="s">
        <v>1176</v>
      </c>
      <c r="I502" s="43" t="str">
        <f t="shared" si="36"/>
        <v>电气</v>
      </c>
      <c r="J502" s="44" t="str">
        <f t="shared" si="37"/>
        <v>电气 气动调节球阀</v>
      </c>
      <c r="K502" s="43">
        <f>COUNTIF($J$2:J502,J502)</f>
        <v>1</v>
      </c>
    </row>
    <row r="503" spans="1:11">
      <c r="A503" s="47">
        <v>495</v>
      </c>
      <c r="B503" s="47">
        <f>IF(K503=1,COUNTIF($D$2:D503,D503),"")</f>
        <v>196</v>
      </c>
      <c r="C503" s="49" t="s">
        <v>120</v>
      </c>
      <c r="D503" s="47" t="s">
        <v>122</v>
      </c>
      <c r="E503" s="49" t="s">
        <v>1157</v>
      </c>
      <c r="F503" s="49" t="s">
        <v>1173</v>
      </c>
      <c r="G503" s="49" t="s">
        <v>1177</v>
      </c>
      <c r="H503" s="47" t="s">
        <v>1178</v>
      </c>
      <c r="I503" s="43" t="str">
        <f t="shared" si="36"/>
        <v>电气</v>
      </c>
      <c r="J503" s="44" t="str">
        <f t="shared" si="37"/>
        <v>电气 气动调节V型球阀</v>
      </c>
      <c r="K503" s="43">
        <f>COUNTIF($J$2:J503,J503)</f>
        <v>1</v>
      </c>
    </row>
    <row r="504" spans="1:11">
      <c r="A504" s="47">
        <v>496</v>
      </c>
      <c r="B504" s="47">
        <f>IF(K504=1,COUNTIF($D$2:D504,D504),"")</f>
        <v>197</v>
      </c>
      <c r="C504" s="49" t="s">
        <v>120</v>
      </c>
      <c r="D504" s="47" t="s">
        <v>122</v>
      </c>
      <c r="E504" s="49" t="s">
        <v>1157</v>
      </c>
      <c r="F504" s="49" t="s">
        <v>1173</v>
      </c>
      <c r="G504" s="49" t="s">
        <v>1179</v>
      </c>
      <c r="H504" s="47" t="s">
        <v>1180</v>
      </c>
      <c r="I504" s="43" t="str">
        <f t="shared" si="36"/>
        <v>电气</v>
      </c>
      <c r="J504" s="44" t="str">
        <f t="shared" si="37"/>
        <v>电气 气动调节闸板阀</v>
      </c>
      <c r="K504" s="43">
        <f>COUNTIF($J$2:J504,J504)</f>
        <v>1</v>
      </c>
    </row>
    <row r="505" spans="1:11">
      <c r="A505" s="47">
        <v>497</v>
      </c>
      <c r="B505" s="47">
        <f>IF(K505=1,COUNTIF($D$2:D505,D505),"")</f>
        <v>198</v>
      </c>
      <c r="C505" s="49" t="s">
        <v>120</v>
      </c>
      <c r="D505" s="47" t="s">
        <v>122</v>
      </c>
      <c r="E505" s="49" t="s">
        <v>1157</v>
      </c>
      <c r="F505" s="49" t="s">
        <v>1173</v>
      </c>
      <c r="G505" s="49" t="s">
        <v>1181</v>
      </c>
      <c r="H505" s="47" t="s">
        <v>1182</v>
      </c>
      <c r="I505" s="43" t="str">
        <f t="shared" si="36"/>
        <v>电气</v>
      </c>
      <c r="J505" s="44" t="str">
        <f t="shared" si="37"/>
        <v>电气 气动调节蝶阀</v>
      </c>
      <c r="K505" s="43">
        <f>COUNTIF($J$2:J505,J505)</f>
        <v>1</v>
      </c>
    </row>
    <row r="506" spans="1:11">
      <c r="A506" s="47">
        <v>498</v>
      </c>
      <c r="B506" s="47">
        <f>IF(K506=1,COUNTIF($D$2:D506,D506),"")</f>
        <v>199</v>
      </c>
      <c r="C506" s="49" t="s">
        <v>120</v>
      </c>
      <c r="D506" s="47" t="s">
        <v>122</v>
      </c>
      <c r="E506" s="49" t="s">
        <v>1157</v>
      </c>
      <c r="F506" s="49" t="s">
        <v>1173</v>
      </c>
      <c r="G506" s="49" t="s">
        <v>1183</v>
      </c>
      <c r="H506" s="47" t="s">
        <v>1184</v>
      </c>
      <c r="I506" s="43" t="str">
        <f t="shared" si="36"/>
        <v>电气</v>
      </c>
      <c r="J506" s="44" t="str">
        <f t="shared" si="37"/>
        <v>电气 气动调节隔膜阀</v>
      </c>
      <c r="K506" s="43">
        <f>COUNTIF($J$2:J506,J506)</f>
        <v>1</v>
      </c>
    </row>
    <row r="507" spans="1:11">
      <c r="A507" s="47">
        <v>499</v>
      </c>
      <c r="B507" s="47">
        <f>IF(K507=1,COUNTIF($D$2:D507,D507),"")</f>
        <v>200</v>
      </c>
      <c r="C507" s="49" t="s">
        <v>120</v>
      </c>
      <c r="D507" s="47" t="s">
        <v>122</v>
      </c>
      <c r="E507" s="49" t="s">
        <v>1157</v>
      </c>
      <c r="F507" s="49" t="s">
        <v>1185</v>
      </c>
      <c r="G507" s="49" t="s">
        <v>1186</v>
      </c>
      <c r="H507" s="47" t="s">
        <v>1187</v>
      </c>
      <c r="I507" s="43" t="str">
        <f t="shared" si="36"/>
        <v>电气</v>
      </c>
      <c r="J507" s="44" t="str">
        <f t="shared" si="37"/>
        <v>电气 球阀阀体</v>
      </c>
      <c r="K507" s="43">
        <f>COUNTIF($J$2:J507,J507)</f>
        <v>1</v>
      </c>
    </row>
    <row r="508" spans="1:11">
      <c r="A508" s="47">
        <v>500</v>
      </c>
      <c r="B508" s="47">
        <f>IF(K508=1,COUNTIF($D$2:D508,D508),"")</f>
        <v>201</v>
      </c>
      <c r="C508" s="49" t="s">
        <v>120</v>
      </c>
      <c r="D508" s="47" t="s">
        <v>122</v>
      </c>
      <c r="E508" s="49" t="s">
        <v>1157</v>
      </c>
      <c r="F508" s="49" t="s">
        <v>1185</v>
      </c>
      <c r="G508" s="49" t="s">
        <v>1188</v>
      </c>
      <c r="H508" s="47" t="s">
        <v>1189</v>
      </c>
      <c r="I508" s="43" t="str">
        <f t="shared" si="36"/>
        <v>电气</v>
      </c>
      <c r="J508" s="44" t="str">
        <f t="shared" si="37"/>
        <v>电气 V型球阀阀体</v>
      </c>
      <c r="K508" s="43">
        <f>COUNTIF($J$2:J508,J508)</f>
        <v>1</v>
      </c>
    </row>
    <row r="509" spans="1:11">
      <c r="A509" s="47">
        <v>501</v>
      </c>
      <c r="B509" s="47">
        <f>IF(K509=1,COUNTIF($D$2:D509,D509),"")</f>
        <v>202</v>
      </c>
      <c r="C509" s="49" t="s">
        <v>120</v>
      </c>
      <c r="D509" s="47" t="s">
        <v>122</v>
      </c>
      <c r="E509" s="49" t="s">
        <v>1157</v>
      </c>
      <c r="F509" s="49" t="s">
        <v>1185</v>
      </c>
      <c r="G509" s="49" t="s">
        <v>1190</v>
      </c>
      <c r="H509" s="47" t="s">
        <v>1191</v>
      </c>
      <c r="I509" s="43" t="str">
        <f t="shared" si="36"/>
        <v>电气</v>
      </c>
      <c r="J509" s="44" t="str">
        <f t="shared" si="37"/>
        <v>电气 三通球阀阀体</v>
      </c>
      <c r="K509" s="43">
        <f>COUNTIF($J$2:J509,J509)</f>
        <v>1</v>
      </c>
    </row>
    <row r="510" spans="1:11">
      <c r="A510" s="47">
        <v>502</v>
      </c>
      <c r="B510" s="47">
        <f>IF(K510=1,COUNTIF($D$2:D510,D510),"")</f>
        <v>203</v>
      </c>
      <c r="C510" s="49" t="s">
        <v>120</v>
      </c>
      <c r="D510" s="47" t="s">
        <v>122</v>
      </c>
      <c r="E510" s="49" t="s">
        <v>1157</v>
      </c>
      <c r="F510" s="49" t="s">
        <v>1185</v>
      </c>
      <c r="G510" s="49" t="s">
        <v>1192</v>
      </c>
      <c r="H510" s="47" t="s">
        <v>1193</v>
      </c>
      <c r="I510" s="43" t="str">
        <f t="shared" si="36"/>
        <v>电气</v>
      </c>
      <c r="J510" s="44" t="str">
        <f t="shared" si="37"/>
        <v>电气 蝶阀阀体</v>
      </c>
      <c r="K510" s="43">
        <f>COUNTIF($J$2:J510,J510)</f>
        <v>1</v>
      </c>
    </row>
    <row r="511" spans="1:11">
      <c r="A511" s="47">
        <v>503</v>
      </c>
      <c r="B511" s="47">
        <f>IF(K511=1,COUNTIF($D$2:D511,D511),"")</f>
        <v>204</v>
      </c>
      <c r="C511" s="49" t="s">
        <v>120</v>
      </c>
      <c r="D511" s="47" t="s">
        <v>122</v>
      </c>
      <c r="E511" s="49" t="s">
        <v>1157</v>
      </c>
      <c r="F511" s="49" t="s">
        <v>1185</v>
      </c>
      <c r="G511" s="49" t="s">
        <v>1194</v>
      </c>
      <c r="H511" s="47" t="s">
        <v>1195</v>
      </c>
      <c r="I511" s="43" t="str">
        <f t="shared" si="36"/>
        <v>电气</v>
      </c>
      <c r="J511" s="44" t="str">
        <f t="shared" si="37"/>
        <v>电气 闸板阀阀体</v>
      </c>
      <c r="K511" s="43">
        <f>COUNTIF($J$2:J511,J511)</f>
        <v>1</v>
      </c>
    </row>
    <row r="512" spans="1:11">
      <c r="A512" s="47">
        <v>504</v>
      </c>
      <c r="B512" s="47">
        <f>IF(K512=1,COUNTIF($D$2:D512,D512),"")</f>
        <v>205</v>
      </c>
      <c r="C512" s="49" t="s">
        <v>120</v>
      </c>
      <c r="D512" s="47" t="s">
        <v>122</v>
      </c>
      <c r="E512" s="49" t="s">
        <v>1157</v>
      </c>
      <c r="F512" s="49" t="s">
        <v>1185</v>
      </c>
      <c r="G512" s="49" t="s">
        <v>1196</v>
      </c>
      <c r="H512" s="47" t="s">
        <v>1197</v>
      </c>
      <c r="I512" s="43" t="str">
        <f t="shared" si="36"/>
        <v>电气</v>
      </c>
      <c r="J512" s="44" t="str">
        <f t="shared" si="37"/>
        <v>电气 角座阀阀体</v>
      </c>
      <c r="K512" s="43">
        <f>COUNTIF($J$2:J512,J512)</f>
        <v>1</v>
      </c>
    </row>
    <row r="513" spans="1:11">
      <c r="A513" s="47">
        <v>505</v>
      </c>
      <c r="B513" s="47">
        <f>IF(K513=1,COUNTIF($D$2:D513,D513),"")</f>
        <v>206</v>
      </c>
      <c r="C513" s="49" t="s">
        <v>120</v>
      </c>
      <c r="D513" s="47" t="s">
        <v>122</v>
      </c>
      <c r="E513" s="49" t="s">
        <v>1157</v>
      </c>
      <c r="F513" s="49" t="s">
        <v>1185</v>
      </c>
      <c r="G513" s="49" t="s">
        <v>1198</v>
      </c>
      <c r="H513" s="47" t="s">
        <v>1199</v>
      </c>
      <c r="I513" s="43" t="str">
        <f t="shared" si="36"/>
        <v>电气</v>
      </c>
      <c r="J513" s="44" t="str">
        <f t="shared" si="37"/>
        <v>电气 隔膜阀阀体</v>
      </c>
      <c r="K513" s="43">
        <f>COUNTIF($J$2:J513,J513)</f>
        <v>1</v>
      </c>
    </row>
    <row r="514" spans="1:11">
      <c r="A514" s="47">
        <v>506</v>
      </c>
      <c r="B514" s="47">
        <f>IF(K514=1,COUNTIF($D$2:D514,D514),"")</f>
        <v>207</v>
      </c>
      <c r="C514" s="49" t="s">
        <v>120</v>
      </c>
      <c r="D514" s="47" t="s">
        <v>122</v>
      </c>
      <c r="E514" s="49" t="s">
        <v>1157</v>
      </c>
      <c r="F514" s="49" t="s">
        <v>1185</v>
      </c>
      <c r="G514" s="49" t="s">
        <v>1200</v>
      </c>
      <c r="H514" s="47" t="s">
        <v>1201</v>
      </c>
      <c r="I514" s="43" t="str">
        <f t="shared" si="36"/>
        <v>电气</v>
      </c>
      <c r="J514" s="44" t="str">
        <f t="shared" si="37"/>
        <v>电气 其它自控阀阀体</v>
      </c>
      <c r="K514" s="43">
        <f>COUNTIF($J$2:J514,J514)</f>
        <v>1</v>
      </c>
    </row>
    <row r="515" spans="1:11">
      <c r="A515" s="47">
        <v>507</v>
      </c>
      <c r="B515" s="47">
        <f>IF(K515=1,COUNTIF($D$2:D515,D515),"")</f>
        <v>208</v>
      </c>
      <c r="C515" s="49" t="s">
        <v>120</v>
      </c>
      <c r="D515" s="47" t="s">
        <v>122</v>
      </c>
      <c r="E515" s="49" t="s">
        <v>1157</v>
      </c>
      <c r="F515" s="49" t="s">
        <v>1202</v>
      </c>
      <c r="G515" s="49" t="s">
        <v>1203</v>
      </c>
      <c r="H515" s="47" t="s">
        <v>1204</v>
      </c>
      <c r="I515" s="43" t="str">
        <f t="shared" si="36"/>
        <v>电气</v>
      </c>
      <c r="J515" s="44" t="str">
        <f t="shared" si="37"/>
        <v>电气 电动调节蝶阀</v>
      </c>
      <c r="K515" s="43">
        <f>COUNTIF($J$2:J515,J515)</f>
        <v>1</v>
      </c>
    </row>
    <row r="516" spans="1:11">
      <c r="A516" s="47">
        <v>508</v>
      </c>
      <c r="B516" s="47">
        <f>IF(K516=1,COUNTIF($D$2:D516,D516),"")</f>
        <v>209</v>
      </c>
      <c r="C516" s="49" t="s">
        <v>120</v>
      </c>
      <c r="D516" s="47" t="s">
        <v>122</v>
      </c>
      <c r="E516" s="49" t="s">
        <v>1157</v>
      </c>
      <c r="F516" s="49" t="s">
        <v>1202</v>
      </c>
      <c r="G516" s="49" t="s">
        <v>1205</v>
      </c>
      <c r="H516" s="47" t="s">
        <v>1206</v>
      </c>
      <c r="I516" s="43" t="str">
        <f t="shared" si="36"/>
        <v>电气</v>
      </c>
      <c r="J516" s="44" t="str">
        <f t="shared" si="37"/>
        <v>电气 电动调节风门</v>
      </c>
      <c r="K516" s="43">
        <f>COUNTIF($J$2:J516,J516)</f>
        <v>1</v>
      </c>
    </row>
    <row r="517" spans="1:11">
      <c r="A517" s="47">
        <v>509</v>
      </c>
      <c r="B517" s="47">
        <f>IF(K517=1,COUNTIF($D$2:D517,D517),"")</f>
        <v>210</v>
      </c>
      <c r="C517" s="49" t="s">
        <v>120</v>
      </c>
      <c r="D517" s="47" t="s">
        <v>122</v>
      </c>
      <c r="E517" s="49" t="s">
        <v>1157</v>
      </c>
      <c r="F517" s="49" t="s">
        <v>1207</v>
      </c>
      <c r="G517" s="49" t="s">
        <v>1208</v>
      </c>
      <c r="H517" s="47" t="s">
        <v>1209</v>
      </c>
      <c r="I517" s="43" t="str">
        <f t="shared" si="36"/>
        <v>电气</v>
      </c>
      <c r="J517" s="44" t="str">
        <f t="shared" si="37"/>
        <v>电气 电磁阀</v>
      </c>
      <c r="K517" s="43">
        <f>COUNTIF($J$2:J517,J517)</f>
        <v>1</v>
      </c>
    </row>
    <row r="518" spans="1:11">
      <c r="A518" s="47">
        <v>510</v>
      </c>
      <c r="B518" s="47">
        <f>IF(K518=1,COUNTIF($D$2:D518,D518),"")</f>
        <v>211</v>
      </c>
      <c r="C518" s="49" t="s">
        <v>120</v>
      </c>
      <c r="D518" s="47" t="s">
        <v>122</v>
      </c>
      <c r="E518" s="49" t="s">
        <v>1157</v>
      </c>
      <c r="F518" s="49" t="s">
        <v>1207</v>
      </c>
      <c r="G518" s="49" t="s">
        <v>1210</v>
      </c>
      <c r="H518" s="47" t="s">
        <v>1211</v>
      </c>
      <c r="I518" s="43" t="str">
        <f t="shared" si="36"/>
        <v>电气</v>
      </c>
      <c r="J518" s="44" t="str">
        <f t="shared" si="37"/>
        <v>电气 定位器</v>
      </c>
      <c r="K518" s="43">
        <f>COUNTIF($J$2:J518,J518)</f>
        <v>1</v>
      </c>
    </row>
    <row r="519" spans="1:11">
      <c r="A519" s="47">
        <v>511</v>
      </c>
      <c r="B519" s="47">
        <f>IF(K519=1,COUNTIF($D$2:D519,D519),"")</f>
        <v>212</v>
      </c>
      <c r="C519" s="49" t="s">
        <v>120</v>
      </c>
      <c r="D519" s="47" t="s">
        <v>122</v>
      </c>
      <c r="E519" s="49" t="s">
        <v>1157</v>
      </c>
      <c r="F519" s="49" t="s">
        <v>1207</v>
      </c>
      <c r="G519" s="49" t="s">
        <v>1212</v>
      </c>
      <c r="H519" s="47" t="s">
        <v>1213</v>
      </c>
      <c r="I519" s="43" t="str">
        <f t="shared" si="36"/>
        <v>电气</v>
      </c>
      <c r="J519" s="44" t="str">
        <f t="shared" si="37"/>
        <v>电气 位置反馈装置</v>
      </c>
      <c r="K519" s="43">
        <f>COUNTIF($J$2:J519,J519)</f>
        <v>1</v>
      </c>
    </row>
    <row r="520" spans="1:11">
      <c r="A520" s="47">
        <v>512</v>
      </c>
      <c r="B520" s="47">
        <f>IF(K520=1,COUNTIF($D$2:D520,D520),"")</f>
        <v>213</v>
      </c>
      <c r="C520" s="49" t="s">
        <v>120</v>
      </c>
      <c r="D520" s="47" t="s">
        <v>122</v>
      </c>
      <c r="E520" s="49" t="s">
        <v>1157</v>
      </c>
      <c r="F520" s="49" t="s">
        <v>1207</v>
      </c>
      <c r="G520" s="49" t="s">
        <v>1214</v>
      </c>
      <c r="H520" s="47" t="s">
        <v>1215</v>
      </c>
      <c r="I520" s="43" t="str">
        <f t="shared" si="36"/>
        <v>电气</v>
      </c>
      <c r="J520" s="44" t="str">
        <f t="shared" si="37"/>
        <v>电气 角行程气动执行器</v>
      </c>
      <c r="K520" s="43">
        <f>COUNTIF($J$2:J520,J520)</f>
        <v>1</v>
      </c>
    </row>
    <row r="521" spans="1:11">
      <c r="A521" s="47">
        <v>513</v>
      </c>
      <c r="B521" s="47">
        <f>IF(K521=1,COUNTIF($D$2:D521,D521),"")</f>
        <v>214</v>
      </c>
      <c r="C521" s="49" t="s">
        <v>120</v>
      </c>
      <c r="D521" s="47" t="s">
        <v>122</v>
      </c>
      <c r="E521" s="49" t="s">
        <v>1157</v>
      </c>
      <c r="F521" s="49" t="s">
        <v>1207</v>
      </c>
      <c r="G521" s="49" t="s">
        <v>1216</v>
      </c>
      <c r="H521" s="47" t="s">
        <v>1217</v>
      </c>
      <c r="I521" s="43" t="str">
        <f t="shared" si="36"/>
        <v>电气</v>
      </c>
      <c r="J521" s="44" t="str">
        <f t="shared" si="37"/>
        <v>电气 薄膜型气动执行器</v>
      </c>
      <c r="K521" s="43">
        <f>COUNTIF($J$2:J521,J521)</f>
        <v>1</v>
      </c>
    </row>
    <row r="522" spans="1:11">
      <c r="A522" s="47">
        <v>514</v>
      </c>
      <c r="B522" s="47">
        <f>IF(K522=1,COUNTIF($D$2:D522,D522),"")</f>
        <v>215</v>
      </c>
      <c r="C522" s="49" t="s">
        <v>120</v>
      </c>
      <c r="D522" s="47" t="s">
        <v>122</v>
      </c>
      <c r="E522" s="49" t="s">
        <v>1157</v>
      </c>
      <c r="F522" s="49" t="s">
        <v>1207</v>
      </c>
      <c r="G522" s="49" t="s">
        <v>1218</v>
      </c>
      <c r="H522" s="47" t="s">
        <v>1219</v>
      </c>
      <c r="I522" s="43" t="str">
        <f t="shared" si="36"/>
        <v>电气</v>
      </c>
      <c r="J522" s="44" t="str">
        <f t="shared" si="37"/>
        <v>电气 直行程气动执行器</v>
      </c>
      <c r="K522" s="43">
        <f>COUNTIF($J$2:J522,J522)</f>
        <v>1</v>
      </c>
    </row>
    <row r="523" spans="1:11">
      <c r="A523" s="47">
        <v>515</v>
      </c>
      <c r="B523" s="47">
        <f>IF(K523=1,COUNTIF($D$2:D523,D523),"")</f>
        <v>216</v>
      </c>
      <c r="C523" s="49" t="s">
        <v>120</v>
      </c>
      <c r="D523" s="47" t="s">
        <v>122</v>
      </c>
      <c r="E523" s="49" t="s">
        <v>1157</v>
      </c>
      <c r="F523" s="49" t="s">
        <v>1207</v>
      </c>
      <c r="G523" s="49" t="s">
        <v>1220</v>
      </c>
      <c r="H523" s="47" t="s">
        <v>1221</v>
      </c>
      <c r="I523" s="43" t="str">
        <f t="shared" si="36"/>
        <v>电气</v>
      </c>
      <c r="J523" s="44" t="str">
        <f t="shared" si="37"/>
        <v>电气 过滤减压阀</v>
      </c>
      <c r="K523" s="43">
        <f>COUNTIF($J$2:J523,J523)</f>
        <v>1</v>
      </c>
    </row>
    <row r="524" spans="1:11">
      <c r="A524" s="47">
        <v>516</v>
      </c>
      <c r="B524" s="47">
        <f>IF(K524=1,COUNTIF($D$2:D524,D524),"")</f>
        <v>217</v>
      </c>
      <c r="C524" s="49" t="s">
        <v>120</v>
      </c>
      <c r="D524" s="47" t="s">
        <v>122</v>
      </c>
      <c r="E524" s="49" t="s">
        <v>1157</v>
      </c>
      <c r="F524" s="49" t="s">
        <v>1207</v>
      </c>
      <c r="G524" s="49" t="s">
        <v>1222</v>
      </c>
      <c r="H524" s="47" t="s">
        <v>1223</v>
      </c>
      <c r="I524" s="43" t="str">
        <f t="shared" si="36"/>
        <v>电气</v>
      </c>
      <c r="J524" s="44" t="str">
        <f t="shared" si="37"/>
        <v>电气 其它自控阀门配件</v>
      </c>
      <c r="K524" s="43">
        <f>COUNTIF($J$2:J524,J524)</f>
        <v>1</v>
      </c>
    </row>
    <row r="525" spans="1:11">
      <c r="A525" s="47">
        <v>517</v>
      </c>
      <c r="B525" s="47">
        <f>IF(K525=1,COUNTIF($D$2:D525,D525),"")</f>
        <v>218</v>
      </c>
      <c r="C525" s="49" t="s">
        <v>120</v>
      </c>
      <c r="D525" s="47" t="s">
        <v>122</v>
      </c>
      <c r="E525" s="49" t="s">
        <v>1157</v>
      </c>
      <c r="F525" s="49" t="s">
        <v>1224</v>
      </c>
      <c r="G525" s="49" t="s">
        <v>1224</v>
      </c>
      <c r="H525" s="47" t="s">
        <v>1225</v>
      </c>
      <c r="I525" s="43" t="str">
        <f t="shared" si="36"/>
        <v>电气</v>
      </c>
      <c r="J525" s="44" t="str">
        <f t="shared" si="37"/>
        <v>电气 其它类型的自控阀</v>
      </c>
      <c r="K525" s="43">
        <f>COUNTIF($J$2:J525,J525)</f>
        <v>1</v>
      </c>
    </row>
    <row r="526" spans="1:11">
      <c r="A526" s="47">
        <v>518</v>
      </c>
      <c r="B526" s="47">
        <v>1</v>
      </c>
      <c r="C526" s="47" t="s">
        <v>121</v>
      </c>
      <c r="D526" s="47"/>
      <c r="E526" s="49"/>
      <c r="F526" s="49"/>
      <c r="G526" s="49" t="s">
        <v>1226</v>
      </c>
      <c r="H526" s="47" t="s">
        <v>1227</v>
      </c>
      <c r="I526" s="43" t="str">
        <f t="shared" si="36"/>
        <v>自制设备</v>
      </c>
      <c r="J526" s="44" t="str">
        <f t="shared" si="37"/>
        <v>自制设备 螺旋出仓机</v>
      </c>
      <c r="K526" s="43">
        <f>COUNTIF($J$2:J526,J526)</f>
        <v>1</v>
      </c>
    </row>
    <row r="527" spans="1:11">
      <c r="A527" s="47">
        <v>519</v>
      </c>
      <c r="B527" s="47">
        <v>2</v>
      </c>
      <c r="C527" s="47"/>
      <c r="D527" s="47"/>
      <c r="E527" s="49"/>
      <c r="F527" s="49"/>
      <c r="G527" s="49" t="s">
        <v>1228</v>
      </c>
      <c r="H527" s="47" t="s">
        <v>1229</v>
      </c>
      <c r="I527" s="43" t="str">
        <f t="shared" si="36"/>
        <v>自制设备</v>
      </c>
      <c r="J527" s="44" t="str">
        <f t="shared" si="37"/>
        <v>自制设备 旋转堆包机</v>
      </c>
      <c r="K527" s="43">
        <f>COUNTIF($J$2:J527,J527)</f>
        <v>1</v>
      </c>
    </row>
    <row r="528" spans="1:11">
      <c r="A528" s="47">
        <v>520</v>
      </c>
      <c r="B528" s="47">
        <v>3</v>
      </c>
      <c r="C528" s="47"/>
      <c r="D528" s="47"/>
      <c r="E528" s="49"/>
      <c r="F528" s="49"/>
      <c r="G528" s="49" t="s">
        <v>1230</v>
      </c>
      <c r="H528" s="47" t="s">
        <v>1231</v>
      </c>
      <c r="I528" s="43" t="str">
        <f t="shared" si="36"/>
        <v>自制设备</v>
      </c>
      <c r="J528" s="44" t="str">
        <f t="shared" si="37"/>
        <v>自制设备 积尘料斗</v>
      </c>
      <c r="K528" s="43">
        <f>COUNTIF($J$2:J528,J528)</f>
        <v>1</v>
      </c>
    </row>
    <row r="529" spans="1:11">
      <c r="A529" s="47">
        <v>521</v>
      </c>
      <c r="B529" s="47">
        <v>4</v>
      </c>
      <c r="C529" s="47"/>
      <c r="D529" s="47"/>
      <c r="E529" s="49"/>
      <c r="F529" s="49"/>
      <c r="G529" s="49" t="s">
        <v>1232</v>
      </c>
      <c r="H529" s="47" t="s">
        <v>1233</v>
      </c>
      <c r="I529" s="43" t="str">
        <f t="shared" si="36"/>
        <v>自制设备</v>
      </c>
      <c r="J529" s="44" t="str">
        <f t="shared" si="37"/>
        <v>自制设备 螺旋清仓机</v>
      </c>
      <c r="K529" s="43">
        <f>COUNTIF($J$2:J529,J529)</f>
        <v>1</v>
      </c>
    </row>
    <row r="530" spans="1:11">
      <c r="A530" s="47">
        <v>522</v>
      </c>
      <c r="B530" s="47">
        <v>5</v>
      </c>
      <c r="C530" s="47"/>
      <c r="D530" s="47"/>
      <c r="E530" s="49"/>
      <c r="F530" s="49"/>
      <c r="G530" s="49" t="s">
        <v>1234</v>
      </c>
      <c r="H530" s="47" t="s">
        <v>1235</v>
      </c>
      <c r="I530" s="43" t="str">
        <f t="shared" si="36"/>
        <v>自制设备</v>
      </c>
      <c r="J530" s="44" t="str">
        <f t="shared" si="37"/>
        <v>自制设备 缓冲仓</v>
      </c>
      <c r="K530" s="43">
        <f>COUNTIF($J$2:J530,J530)</f>
        <v>1</v>
      </c>
    </row>
    <row r="531" spans="1:11">
      <c r="A531" s="47">
        <v>523</v>
      </c>
      <c r="B531" s="47">
        <v>6</v>
      </c>
      <c r="C531" s="47"/>
      <c r="D531" s="47"/>
      <c r="E531" s="49"/>
      <c r="F531" s="49"/>
      <c r="G531" s="49" t="s">
        <v>1236</v>
      </c>
      <c r="H531" s="47" t="s">
        <v>1237</v>
      </c>
      <c r="I531" s="43" t="str">
        <f t="shared" si="36"/>
        <v>自制设备</v>
      </c>
      <c r="J531" s="44" t="str">
        <f t="shared" si="37"/>
        <v>自制设备 破拱斗</v>
      </c>
      <c r="K531" s="43">
        <f>COUNTIF($J$2:J531,J531)</f>
        <v>1</v>
      </c>
    </row>
    <row r="532" spans="1:11">
      <c r="A532" s="47">
        <v>524</v>
      </c>
      <c r="B532" s="47">
        <v>7</v>
      </c>
      <c r="C532" s="47"/>
      <c r="D532" s="47"/>
      <c r="E532" s="49"/>
      <c r="F532" s="49"/>
      <c r="G532" s="49" t="s">
        <v>1238</v>
      </c>
      <c r="H532" s="47" t="s">
        <v>1239</v>
      </c>
      <c r="I532" s="43" t="str">
        <f t="shared" si="36"/>
        <v>自制设备</v>
      </c>
      <c r="J532" s="44" t="str">
        <f t="shared" si="37"/>
        <v>自制设备 卸料栅格</v>
      </c>
      <c r="K532" s="43">
        <f>COUNTIF($J$2:J532,J532)</f>
        <v>1</v>
      </c>
    </row>
    <row r="533" spans="1:11">
      <c r="A533" s="47">
        <v>525</v>
      </c>
      <c r="B533" s="47">
        <v>8</v>
      </c>
      <c r="C533" s="47"/>
      <c r="D533" s="47"/>
      <c r="E533" s="49"/>
      <c r="F533" s="49"/>
      <c r="G533" s="49" t="s">
        <v>1240</v>
      </c>
      <c r="H533" s="47" t="s">
        <v>1241</v>
      </c>
      <c r="I533" s="43" t="str">
        <f t="shared" si="36"/>
        <v>自制设备</v>
      </c>
      <c r="J533" s="44" t="str">
        <f t="shared" si="37"/>
        <v>自制设备 组合式皮仓</v>
      </c>
      <c r="K533" s="43">
        <f>COUNTIF($J$2:J533,J533)</f>
        <v>1</v>
      </c>
    </row>
    <row r="534" spans="1:11">
      <c r="A534" s="47">
        <v>526</v>
      </c>
      <c r="B534" s="47">
        <v>9</v>
      </c>
      <c r="C534" s="47"/>
      <c r="D534" s="47"/>
      <c r="E534" s="49"/>
      <c r="F534" s="49"/>
      <c r="G534" s="49" t="s">
        <v>1242</v>
      </c>
      <c r="H534" s="47" t="s">
        <v>1243</v>
      </c>
      <c r="I534" s="43" t="str">
        <f t="shared" si="36"/>
        <v>自制设备</v>
      </c>
      <c r="J534" s="44" t="str">
        <f t="shared" si="37"/>
        <v>自制设备 圆仓</v>
      </c>
      <c r="K534" s="43">
        <f>COUNTIF($J$2:J534,J534)</f>
        <v>1</v>
      </c>
    </row>
    <row r="535" spans="1:11">
      <c r="A535" s="47">
        <v>527</v>
      </c>
      <c r="B535" s="47">
        <v>10</v>
      </c>
      <c r="C535" s="47"/>
      <c r="D535" s="47"/>
      <c r="E535" s="49"/>
      <c r="F535" s="49"/>
      <c r="G535" s="49" t="s">
        <v>1244</v>
      </c>
      <c r="H535" s="47" t="s">
        <v>1245</v>
      </c>
      <c r="I535" s="43" t="str">
        <f t="shared" si="36"/>
        <v>自制设备</v>
      </c>
      <c r="J535" s="44" t="str">
        <f t="shared" si="37"/>
        <v>自制设备 储罐</v>
      </c>
      <c r="K535" s="43">
        <f>COUNTIF($J$2:J535,J535)</f>
        <v>1</v>
      </c>
    </row>
    <row r="536" spans="1:11">
      <c r="A536" s="47">
        <v>528</v>
      </c>
      <c r="B536" s="47">
        <v>11</v>
      </c>
      <c r="C536" s="47"/>
      <c r="D536" s="47"/>
      <c r="E536" s="49"/>
      <c r="F536" s="49"/>
      <c r="G536" s="49" t="s">
        <v>1246</v>
      </c>
      <c r="H536" s="47" t="s">
        <v>1247</v>
      </c>
      <c r="I536" s="43" t="str">
        <f t="shared" si="36"/>
        <v>自制设备</v>
      </c>
      <c r="J536" s="44" t="str">
        <f t="shared" si="37"/>
        <v>自制设备 沉降槽</v>
      </c>
      <c r="K536" s="43">
        <f>COUNTIF($J$2:J536,J536)</f>
        <v>1</v>
      </c>
    </row>
    <row r="537" spans="1:11">
      <c r="A537" s="47">
        <v>529</v>
      </c>
      <c r="B537" s="47">
        <v>12</v>
      </c>
      <c r="C537" s="47"/>
      <c r="D537" s="47"/>
      <c r="E537" s="49"/>
      <c r="F537" s="49"/>
      <c r="G537" s="49" t="s">
        <v>1248</v>
      </c>
      <c r="H537" s="47" t="s">
        <v>1249</v>
      </c>
      <c r="I537" s="43" t="str">
        <f t="shared" si="36"/>
        <v>自制设备</v>
      </c>
      <c r="J537" s="44" t="str">
        <f t="shared" si="37"/>
        <v>自制设备 沉降罐</v>
      </c>
      <c r="K537" s="43">
        <f>COUNTIF($J$2:J537,J537)</f>
        <v>1</v>
      </c>
    </row>
    <row r="538" spans="1:11">
      <c r="A538" s="47">
        <v>530</v>
      </c>
      <c r="B538" s="47">
        <v>13</v>
      </c>
      <c r="C538" s="47"/>
      <c r="D538" s="47"/>
      <c r="E538" s="49"/>
      <c r="F538" s="49"/>
      <c r="G538" s="49" t="s">
        <v>1250</v>
      </c>
      <c r="H538" s="47" t="s">
        <v>1251</v>
      </c>
      <c r="I538" s="43" t="str">
        <f t="shared" ref="I538:I601" si="38">IF(COUNTA(C538)=1,C538,I537)</f>
        <v>自制设备</v>
      </c>
      <c r="J538" s="44" t="str">
        <f t="shared" ref="J538:J601" si="39">CONCATENATE(I538," ",G538)</f>
        <v>自制设备 干燥冷却器</v>
      </c>
      <c r="K538" s="43">
        <f>COUNTIF($J$2:J538,J538)</f>
        <v>1</v>
      </c>
    </row>
    <row r="539" spans="1:11">
      <c r="A539" s="47">
        <v>531</v>
      </c>
      <c r="B539" s="47">
        <v>14</v>
      </c>
      <c r="C539" s="47"/>
      <c r="D539" s="47"/>
      <c r="E539" s="49"/>
      <c r="F539" s="49"/>
      <c r="G539" s="49" t="s">
        <v>1252</v>
      </c>
      <c r="H539" s="47" t="s">
        <v>1253</v>
      </c>
      <c r="I539" s="43" t="str">
        <f t="shared" si="38"/>
        <v>自制设备</v>
      </c>
      <c r="J539" s="44" t="str">
        <f t="shared" si="39"/>
        <v>自制设备 底流罐</v>
      </c>
      <c r="K539" s="43">
        <f>COUNTIF($J$2:J539,J539)</f>
        <v>1</v>
      </c>
    </row>
    <row r="540" spans="1:11">
      <c r="A540" s="47">
        <v>532</v>
      </c>
      <c r="B540" s="47">
        <v>15</v>
      </c>
      <c r="C540" s="47"/>
      <c r="D540" s="47"/>
      <c r="E540" s="49"/>
      <c r="F540" s="49"/>
      <c r="G540" s="49" t="s">
        <v>1254</v>
      </c>
      <c r="H540" s="47" t="s">
        <v>1255</v>
      </c>
      <c r="I540" s="43" t="str">
        <f t="shared" si="38"/>
        <v>自制设备</v>
      </c>
      <c r="J540" s="44" t="str">
        <f t="shared" si="39"/>
        <v>自制设备 蜗壳分离器</v>
      </c>
      <c r="K540" s="43">
        <f>COUNTIF($J$2:J540,J540)</f>
        <v>1</v>
      </c>
    </row>
    <row r="541" spans="1:11">
      <c r="A541" s="47">
        <v>533</v>
      </c>
      <c r="B541" s="47">
        <v>16</v>
      </c>
      <c r="C541" s="47"/>
      <c r="D541" s="47"/>
      <c r="E541" s="49"/>
      <c r="F541" s="49"/>
      <c r="G541" s="49" t="s">
        <v>1256</v>
      </c>
      <c r="H541" s="47" t="s">
        <v>1257</v>
      </c>
      <c r="I541" s="43" t="str">
        <f t="shared" si="38"/>
        <v>自制设备</v>
      </c>
      <c r="J541" s="44" t="str">
        <f t="shared" si="39"/>
        <v>自制设备 烘干管道</v>
      </c>
      <c r="K541" s="43">
        <f>COUNTIF($J$2:J541,J541)</f>
        <v>1</v>
      </c>
    </row>
    <row r="542" spans="1:11">
      <c r="A542" s="47">
        <v>534</v>
      </c>
      <c r="B542" s="47">
        <v>17</v>
      </c>
      <c r="C542" s="47"/>
      <c r="D542" s="47"/>
      <c r="E542" s="49"/>
      <c r="F542" s="49"/>
      <c r="G542" s="49" t="s">
        <v>1258</v>
      </c>
      <c r="H542" s="47" t="s">
        <v>1259</v>
      </c>
      <c r="I542" s="43" t="str">
        <f t="shared" si="38"/>
        <v>自制设备</v>
      </c>
      <c r="J542" s="44" t="str">
        <f t="shared" si="39"/>
        <v>自制设备 平底搅拌罐</v>
      </c>
      <c r="K542" s="43">
        <f>COUNTIF($J$2:J542,J542)</f>
        <v>1</v>
      </c>
    </row>
    <row r="543" spans="1:11">
      <c r="A543" s="47">
        <v>535</v>
      </c>
      <c r="B543" s="47">
        <v>18</v>
      </c>
      <c r="C543" s="47"/>
      <c r="D543" s="47"/>
      <c r="E543" s="49"/>
      <c r="F543" s="49"/>
      <c r="G543" s="49" t="s">
        <v>1260</v>
      </c>
      <c r="H543" s="47" t="s">
        <v>1261</v>
      </c>
      <c r="I543" s="43" t="str">
        <f t="shared" si="38"/>
        <v>自制设备</v>
      </c>
      <c r="J543" s="44" t="str">
        <f t="shared" si="39"/>
        <v>自制设备 搅拌槽</v>
      </c>
      <c r="K543" s="43">
        <f>COUNTIF($J$2:J543,J543)</f>
        <v>1</v>
      </c>
    </row>
    <row r="544" spans="1:11">
      <c r="A544" s="47">
        <v>536</v>
      </c>
      <c r="B544" s="47">
        <v>19</v>
      </c>
      <c r="C544" s="47"/>
      <c r="D544" s="47"/>
      <c r="E544" s="49"/>
      <c r="F544" s="49"/>
      <c r="G544" s="49" t="s">
        <v>1262</v>
      </c>
      <c r="H544" s="47" t="s">
        <v>1263</v>
      </c>
      <c r="I544" s="43" t="str">
        <f t="shared" si="38"/>
        <v>自制设备</v>
      </c>
      <c r="J544" s="44" t="str">
        <f t="shared" si="39"/>
        <v>自制设备 封头搅拌罐</v>
      </c>
      <c r="K544" s="43">
        <f>COUNTIF($J$2:J544,J544)</f>
        <v>1</v>
      </c>
    </row>
    <row r="545" spans="1:11">
      <c r="A545" s="47">
        <v>537</v>
      </c>
      <c r="B545" s="47">
        <v>20</v>
      </c>
      <c r="C545" s="47"/>
      <c r="D545" s="47"/>
      <c r="E545" s="49"/>
      <c r="F545" s="49"/>
      <c r="G545" s="49" t="s">
        <v>1264</v>
      </c>
      <c r="H545" s="47" t="s">
        <v>1265</v>
      </c>
      <c r="I545" s="43" t="str">
        <f t="shared" si="38"/>
        <v>自制设备</v>
      </c>
      <c r="J545" s="44" t="str">
        <f t="shared" si="39"/>
        <v>自制设备 面筋脱水机</v>
      </c>
      <c r="K545" s="43">
        <f>COUNTIF($J$2:J545,J545)</f>
        <v>1</v>
      </c>
    </row>
    <row r="546" spans="1:11">
      <c r="A546" s="47">
        <v>538</v>
      </c>
      <c r="B546" s="47">
        <v>21</v>
      </c>
      <c r="C546" s="47"/>
      <c r="D546" s="47"/>
      <c r="E546" s="49"/>
      <c r="F546" s="49"/>
      <c r="G546" s="49" t="s">
        <v>1266</v>
      </c>
      <c r="H546" s="47" t="s">
        <v>1267</v>
      </c>
      <c r="I546" s="43" t="str">
        <f t="shared" si="38"/>
        <v>自制设备</v>
      </c>
      <c r="J546" s="44" t="str">
        <f t="shared" si="39"/>
        <v>自制设备 卧式结晶机</v>
      </c>
      <c r="K546" s="43">
        <f>COUNTIF($J$2:J546,J546)</f>
        <v>1</v>
      </c>
    </row>
    <row r="547" spans="1:11">
      <c r="A547" s="47">
        <v>539</v>
      </c>
      <c r="B547" s="47">
        <v>22</v>
      </c>
      <c r="C547" s="47"/>
      <c r="D547" s="47"/>
      <c r="E547" s="49"/>
      <c r="F547" s="49"/>
      <c r="G547" s="49" t="s">
        <v>1268</v>
      </c>
      <c r="H547" s="47" t="s">
        <v>1269</v>
      </c>
      <c r="I547" s="43" t="str">
        <f t="shared" si="38"/>
        <v>自制设备</v>
      </c>
      <c r="J547" s="44" t="str">
        <f t="shared" si="39"/>
        <v>自制设备 浸泡罐</v>
      </c>
      <c r="K547" s="43">
        <f>COUNTIF($J$2:J547,J547)</f>
        <v>1</v>
      </c>
    </row>
    <row r="548" spans="1:11">
      <c r="A548" s="47">
        <v>540</v>
      </c>
      <c r="B548" s="47">
        <v>23</v>
      </c>
      <c r="C548" s="47"/>
      <c r="D548" s="47"/>
      <c r="E548" s="49"/>
      <c r="F548" s="49"/>
      <c r="G548" s="49" t="s">
        <v>1270</v>
      </c>
      <c r="H548" s="47" t="s">
        <v>1271</v>
      </c>
      <c r="I548" s="43" t="str">
        <f t="shared" si="38"/>
        <v>自制设备</v>
      </c>
      <c r="J548" s="44" t="str">
        <f t="shared" si="39"/>
        <v>自制设备 蜂窝板夹套罐</v>
      </c>
      <c r="K548" s="43">
        <f>COUNTIF($J$2:J548,J548)</f>
        <v>1</v>
      </c>
    </row>
    <row r="549" spans="1:11">
      <c r="A549" s="47">
        <v>541</v>
      </c>
      <c r="B549" s="47">
        <v>24</v>
      </c>
      <c r="C549" s="47"/>
      <c r="D549" s="47"/>
      <c r="E549" s="49"/>
      <c r="F549" s="49"/>
      <c r="G549" s="49" t="s">
        <v>1272</v>
      </c>
      <c r="H549" s="47" t="s">
        <v>1273</v>
      </c>
      <c r="I549" s="43" t="str">
        <f t="shared" si="38"/>
        <v>自制设备</v>
      </c>
      <c r="J549" s="44" t="str">
        <f t="shared" si="39"/>
        <v>自制设备 夹套加热器</v>
      </c>
      <c r="K549" s="43">
        <f>COUNTIF($J$2:J549,J549)</f>
        <v>1</v>
      </c>
    </row>
    <row r="550" spans="1:11">
      <c r="A550" s="47">
        <v>542</v>
      </c>
      <c r="B550" s="47">
        <v>25</v>
      </c>
      <c r="C550" s="47"/>
      <c r="D550" s="47"/>
      <c r="E550" s="49"/>
      <c r="F550" s="49"/>
      <c r="G550" s="49" t="s">
        <v>1274</v>
      </c>
      <c r="H550" s="47" t="s">
        <v>1275</v>
      </c>
      <c r="I550" s="43" t="str">
        <f t="shared" si="38"/>
        <v>自制设备</v>
      </c>
      <c r="J550" s="44" t="str">
        <f t="shared" si="39"/>
        <v>自制设备 斜底搅拌罐</v>
      </c>
      <c r="K550" s="43">
        <f>COUNTIF($J$2:J550,J550)</f>
        <v>1</v>
      </c>
    </row>
    <row r="551" spans="1:11">
      <c r="A551" s="47">
        <v>543</v>
      </c>
      <c r="B551" s="47">
        <v>26</v>
      </c>
      <c r="C551" s="47"/>
      <c r="D551" s="47"/>
      <c r="E551" s="49"/>
      <c r="F551" s="49"/>
      <c r="G551" s="49" t="s">
        <v>1276</v>
      </c>
      <c r="H551" s="47" t="s">
        <v>1277</v>
      </c>
      <c r="I551" s="43" t="str">
        <f t="shared" si="38"/>
        <v>自制设备</v>
      </c>
      <c r="J551" s="44" t="str">
        <f t="shared" si="39"/>
        <v>自制设备 锥底搅拌罐</v>
      </c>
      <c r="K551" s="43">
        <f>COUNTIF($J$2:J551,J551)</f>
        <v>1</v>
      </c>
    </row>
    <row r="552" spans="1:11">
      <c r="A552" s="47">
        <v>544</v>
      </c>
      <c r="B552" s="47">
        <v>27</v>
      </c>
      <c r="C552" s="47"/>
      <c r="D552" s="47"/>
      <c r="E552" s="49"/>
      <c r="F552" s="49"/>
      <c r="G552" s="49" t="s">
        <v>1278</v>
      </c>
      <c r="H552" s="47" t="s">
        <v>1279</v>
      </c>
      <c r="I552" s="43" t="str">
        <f t="shared" si="38"/>
        <v>自制设备</v>
      </c>
      <c r="J552" s="44" t="str">
        <f t="shared" si="39"/>
        <v>自制设备 冷凝水罐</v>
      </c>
      <c r="K552" s="43">
        <f>COUNTIF($J$2:J552,J552)</f>
        <v>1</v>
      </c>
    </row>
    <row r="553" spans="1:11">
      <c r="A553" s="47">
        <v>545</v>
      </c>
      <c r="B553" s="47">
        <v>28</v>
      </c>
      <c r="C553" s="47"/>
      <c r="D553" s="47"/>
      <c r="E553" s="49"/>
      <c r="F553" s="49"/>
      <c r="G553" s="49" t="s">
        <v>1280</v>
      </c>
      <c r="H553" s="47" t="s">
        <v>1281</v>
      </c>
      <c r="I553" s="43" t="str">
        <f t="shared" si="38"/>
        <v>自制设备</v>
      </c>
      <c r="J553" s="44" t="str">
        <f t="shared" si="39"/>
        <v>自制设备 湿蛋白破碎机</v>
      </c>
      <c r="K553" s="43">
        <f>COUNTIF($J$2:J553,J553)</f>
        <v>1</v>
      </c>
    </row>
    <row r="554" spans="1:11">
      <c r="A554" s="47">
        <v>546</v>
      </c>
      <c r="B554" s="47">
        <v>29</v>
      </c>
      <c r="C554" s="47"/>
      <c r="D554" s="47"/>
      <c r="E554" s="49"/>
      <c r="F554" s="49"/>
      <c r="G554" s="49" t="s">
        <v>1282</v>
      </c>
      <c r="H554" s="47" t="s">
        <v>1283</v>
      </c>
      <c r="I554" s="43" t="str">
        <f t="shared" si="38"/>
        <v>自制设备</v>
      </c>
      <c r="J554" s="44" t="str">
        <f t="shared" si="39"/>
        <v>自制设备 汽液分离器</v>
      </c>
      <c r="K554" s="43">
        <f>COUNTIF($J$2:J554,J554)</f>
        <v>1</v>
      </c>
    </row>
    <row r="555" spans="1:11">
      <c r="A555" s="47">
        <v>547</v>
      </c>
      <c r="B555" s="47">
        <v>30</v>
      </c>
      <c r="C555" s="47"/>
      <c r="D555" s="47"/>
      <c r="E555" s="49"/>
      <c r="F555" s="49"/>
      <c r="G555" s="49" t="s">
        <v>1284</v>
      </c>
      <c r="H555" s="47" t="s">
        <v>1285</v>
      </c>
      <c r="I555" s="43" t="str">
        <f t="shared" si="38"/>
        <v>自制设备</v>
      </c>
      <c r="J555" s="44" t="str">
        <f t="shared" si="39"/>
        <v>自制设备 硫磺燃烧炉</v>
      </c>
      <c r="K555" s="43">
        <f>COUNTIF($J$2:J555,J555)</f>
        <v>1</v>
      </c>
    </row>
    <row r="556" spans="1:11">
      <c r="A556" s="47">
        <v>548</v>
      </c>
      <c r="B556" s="47">
        <v>31</v>
      </c>
      <c r="C556" s="47"/>
      <c r="D556" s="47"/>
      <c r="E556" s="49"/>
      <c r="F556" s="49"/>
      <c r="G556" s="49" t="s">
        <v>1286</v>
      </c>
      <c r="H556" s="47" t="s">
        <v>1287</v>
      </c>
      <c r="I556" s="43" t="str">
        <f t="shared" si="38"/>
        <v>自制设备</v>
      </c>
      <c r="J556" s="44" t="str">
        <f t="shared" si="39"/>
        <v>自制设备 旋转闪蒸器</v>
      </c>
      <c r="K556" s="43">
        <f>COUNTIF($J$2:J556,J556)</f>
        <v>1</v>
      </c>
    </row>
    <row r="557" spans="1:11">
      <c r="A557" s="47">
        <v>549</v>
      </c>
      <c r="B557" s="47">
        <v>32</v>
      </c>
      <c r="C557" s="47"/>
      <c r="D557" s="47"/>
      <c r="E557" s="49"/>
      <c r="F557" s="49"/>
      <c r="G557" s="49" t="s">
        <v>1288</v>
      </c>
      <c r="H557" s="47" t="s">
        <v>1289</v>
      </c>
      <c r="I557" s="43" t="str">
        <f t="shared" si="38"/>
        <v>自制设备</v>
      </c>
      <c r="J557" s="44" t="str">
        <f t="shared" si="39"/>
        <v>自制设备 储槽</v>
      </c>
      <c r="K557" s="43">
        <f>COUNTIF($J$2:J557,J557)</f>
        <v>1</v>
      </c>
    </row>
    <row r="558" spans="1:11">
      <c r="A558" s="47">
        <v>550</v>
      </c>
      <c r="B558" s="47">
        <v>33</v>
      </c>
      <c r="C558" s="47"/>
      <c r="D558" s="47"/>
      <c r="E558" s="49"/>
      <c r="F558" s="49"/>
      <c r="G558" s="49" t="s">
        <v>1290</v>
      </c>
      <c r="H558" s="47" t="s">
        <v>1291</v>
      </c>
      <c r="I558" s="43" t="str">
        <f t="shared" si="38"/>
        <v>自制设备</v>
      </c>
      <c r="J558" s="44" t="str">
        <f t="shared" si="39"/>
        <v>自制设备 立式蒸脱机</v>
      </c>
      <c r="K558" s="43">
        <f>COUNTIF($J$2:J558,J558)</f>
        <v>1</v>
      </c>
    </row>
    <row r="559" spans="1:11">
      <c r="A559" s="47">
        <v>551</v>
      </c>
      <c r="B559" s="47">
        <v>34</v>
      </c>
      <c r="C559" s="47"/>
      <c r="D559" s="47"/>
      <c r="E559" s="49"/>
      <c r="F559" s="49"/>
      <c r="G559" s="49" t="s">
        <v>1292</v>
      </c>
      <c r="H559" s="47" t="s">
        <v>1293</v>
      </c>
      <c r="I559" s="43" t="str">
        <f t="shared" si="38"/>
        <v>自制设备</v>
      </c>
      <c r="J559" s="44" t="str">
        <f t="shared" si="39"/>
        <v>自制设备 封头罐</v>
      </c>
      <c r="K559" s="43">
        <f>COUNTIF($J$2:J559,J559)</f>
        <v>1</v>
      </c>
    </row>
    <row r="560" spans="1:11">
      <c r="A560" s="47">
        <v>552</v>
      </c>
      <c r="B560" s="47">
        <v>35</v>
      </c>
      <c r="C560" s="47"/>
      <c r="D560" s="47"/>
      <c r="E560" s="49"/>
      <c r="F560" s="49"/>
      <c r="G560" s="49" t="s">
        <v>1294</v>
      </c>
      <c r="H560" s="47" t="s">
        <v>1295</v>
      </c>
      <c r="I560" s="43" t="str">
        <f t="shared" si="38"/>
        <v>自制设备</v>
      </c>
      <c r="J560" s="44" t="str">
        <f t="shared" si="39"/>
        <v>自制设备 投料口</v>
      </c>
      <c r="K560" s="43">
        <f>COUNTIF($J$2:J560,J560)</f>
        <v>1</v>
      </c>
    </row>
    <row r="561" spans="1:11">
      <c r="A561" s="47">
        <v>553</v>
      </c>
      <c r="B561" s="47">
        <v>36</v>
      </c>
      <c r="C561" s="47"/>
      <c r="D561" s="47"/>
      <c r="E561" s="49"/>
      <c r="F561" s="49"/>
      <c r="G561" s="49" t="s">
        <v>1296</v>
      </c>
      <c r="H561" s="47" t="s">
        <v>1297</v>
      </c>
      <c r="I561" s="43" t="str">
        <f t="shared" si="38"/>
        <v>自制设备</v>
      </c>
      <c r="J561" s="44" t="str">
        <f t="shared" si="39"/>
        <v>自制设备 平底罐</v>
      </c>
      <c r="K561" s="43">
        <f>COUNTIF($J$2:J561,J561)</f>
        <v>1</v>
      </c>
    </row>
    <row r="562" spans="1:11">
      <c r="A562" s="47">
        <v>554</v>
      </c>
      <c r="B562" s="47">
        <v>37</v>
      </c>
      <c r="C562" s="47"/>
      <c r="D562" s="47"/>
      <c r="E562" s="49"/>
      <c r="F562" s="49"/>
      <c r="G562" s="49" t="s">
        <v>1298</v>
      </c>
      <c r="H562" s="47" t="s">
        <v>1299</v>
      </c>
      <c r="I562" s="43" t="str">
        <f t="shared" si="38"/>
        <v>自制设备</v>
      </c>
      <c r="J562" s="44" t="str">
        <f t="shared" si="39"/>
        <v>自制设备 滚筒滤水筛</v>
      </c>
      <c r="K562" s="43">
        <f>COUNTIF($J$2:J562,J562)</f>
        <v>1</v>
      </c>
    </row>
    <row r="563" spans="1:11">
      <c r="A563" s="47">
        <v>555</v>
      </c>
      <c r="B563" s="47">
        <v>38</v>
      </c>
      <c r="C563" s="47"/>
      <c r="D563" s="47"/>
      <c r="E563" s="49"/>
      <c r="F563" s="49"/>
      <c r="G563" s="49" t="s">
        <v>1300</v>
      </c>
      <c r="H563" s="47" t="s">
        <v>1301</v>
      </c>
      <c r="I563" s="43" t="str">
        <f t="shared" si="38"/>
        <v>自制设备</v>
      </c>
      <c r="J563" s="44" t="str">
        <f t="shared" si="39"/>
        <v>自制设备 平板滤水筛</v>
      </c>
      <c r="K563" s="43">
        <f>COUNTIF($J$2:J563,J563)</f>
        <v>1</v>
      </c>
    </row>
    <row r="564" spans="1:11">
      <c r="A564" s="47">
        <v>556</v>
      </c>
      <c r="B564" s="47">
        <v>39</v>
      </c>
      <c r="C564" s="47"/>
      <c r="D564" s="47"/>
      <c r="E564" s="49"/>
      <c r="F564" s="49"/>
      <c r="G564" s="49" t="s">
        <v>1302</v>
      </c>
      <c r="H564" s="47" t="s">
        <v>1303</v>
      </c>
      <c r="I564" s="43" t="str">
        <f t="shared" si="38"/>
        <v>自制设备</v>
      </c>
      <c r="J564" s="44" t="str">
        <f t="shared" si="39"/>
        <v>自制设备 斜底罐</v>
      </c>
      <c r="K564" s="43">
        <f>COUNTIF($J$2:J564,J564)</f>
        <v>1</v>
      </c>
    </row>
    <row r="565" spans="1:11">
      <c r="A565" s="47">
        <v>557</v>
      </c>
      <c r="B565" s="47">
        <v>40</v>
      </c>
      <c r="C565" s="47"/>
      <c r="D565" s="47"/>
      <c r="E565" s="49"/>
      <c r="F565" s="49"/>
      <c r="G565" s="49" t="s">
        <v>1304</v>
      </c>
      <c r="H565" s="47" t="s">
        <v>1305</v>
      </c>
      <c r="I565" s="43" t="str">
        <f t="shared" si="38"/>
        <v>自制设备</v>
      </c>
      <c r="J565" s="44" t="str">
        <f t="shared" si="39"/>
        <v>自制设备 暂存仓</v>
      </c>
      <c r="K565" s="43">
        <f>COUNTIF($J$2:J565,J565)</f>
        <v>1</v>
      </c>
    </row>
    <row r="566" spans="1:11">
      <c r="A566" s="47">
        <v>558</v>
      </c>
      <c r="B566" s="47">
        <v>41</v>
      </c>
      <c r="C566" s="47"/>
      <c r="D566" s="47"/>
      <c r="E566" s="49"/>
      <c r="F566" s="49"/>
      <c r="G566" s="49" t="s">
        <v>1306</v>
      </c>
      <c r="H566" s="47" t="s">
        <v>1307</v>
      </c>
      <c r="I566" s="43" t="str">
        <f t="shared" si="38"/>
        <v>自制设备</v>
      </c>
      <c r="J566" s="44" t="str">
        <f t="shared" si="39"/>
        <v>自制设备 锥底罐</v>
      </c>
      <c r="K566" s="43">
        <f>COUNTIF($J$2:J566,J566)</f>
        <v>1</v>
      </c>
    </row>
    <row r="567" spans="1:11">
      <c r="A567" s="47">
        <v>559</v>
      </c>
      <c r="B567" s="47">
        <v>42</v>
      </c>
      <c r="C567" s="47"/>
      <c r="D567" s="47"/>
      <c r="E567" s="49"/>
      <c r="F567" s="49"/>
      <c r="G567" s="49" t="s">
        <v>1290</v>
      </c>
      <c r="H567" s="47" t="s">
        <v>1308</v>
      </c>
      <c r="I567" s="43" t="str">
        <f t="shared" si="38"/>
        <v>自制设备</v>
      </c>
      <c r="J567" s="44" t="str">
        <f t="shared" si="39"/>
        <v>自制设备 立式蒸脱机</v>
      </c>
      <c r="K567" s="43">
        <f>COUNTIF($J$2:J567,J567)</f>
        <v>2</v>
      </c>
    </row>
    <row r="568" spans="1:11">
      <c r="A568" s="47">
        <v>560</v>
      </c>
      <c r="B568" s="47">
        <v>43</v>
      </c>
      <c r="C568" s="47"/>
      <c r="D568" s="47"/>
      <c r="E568" s="49"/>
      <c r="F568" s="49"/>
      <c r="G568" s="49" t="s">
        <v>1309</v>
      </c>
      <c r="H568" s="47" t="s">
        <v>1310</v>
      </c>
      <c r="I568" s="43" t="str">
        <f t="shared" si="38"/>
        <v>自制设备</v>
      </c>
      <c r="J568" s="44" t="str">
        <f t="shared" si="39"/>
        <v>自制设备 鱼嘴喂料器</v>
      </c>
      <c r="K568" s="43">
        <f>COUNTIF($J$2:J568,J568)</f>
        <v>1</v>
      </c>
    </row>
    <row r="569" spans="1:11">
      <c r="A569" s="47">
        <v>561</v>
      </c>
      <c r="B569" s="47">
        <v>44</v>
      </c>
      <c r="C569" s="47"/>
      <c r="D569" s="47"/>
      <c r="E569" s="49"/>
      <c r="F569" s="49"/>
      <c r="G569" s="49" t="s">
        <v>1311</v>
      </c>
      <c r="H569" s="47" t="s">
        <v>1312</v>
      </c>
      <c r="I569" s="43" t="str">
        <f t="shared" si="38"/>
        <v>自制设备</v>
      </c>
      <c r="J569" s="44" t="str">
        <f t="shared" si="39"/>
        <v>自制设备 纤维洗涤槽</v>
      </c>
      <c r="K569" s="43">
        <f>COUNTIF($J$2:J569,J569)</f>
        <v>1</v>
      </c>
    </row>
    <row r="570" spans="1:11">
      <c r="A570" s="47">
        <v>562</v>
      </c>
      <c r="B570" s="47">
        <v>45</v>
      </c>
      <c r="C570" s="47"/>
      <c r="D570" s="47"/>
      <c r="E570" s="49"/>
      <c r="F570" s="49"/>
      <c r="G570" s="49" t="s">
        <v>247</v>
      </c>
      <c r="H570" s="47" t="s">
        <v>1313</v>
      </c>
      <c r="I570" s="43" t="str">
        <f t="shared" si="38"/>
        <v>自制设备</v>
      </c>
      <c r="J570" s="44" t="str">
        <f t="shared" si="39"/>
        <v>自制设备 砂石捕集器</v>
      </c>
      <c r="K570" s="43">
        <f>COUNTIF($J$2:J570,J570)</f>
        <v>1</v>
      </c>
    </row>
    <row r="571" spans="1:11">
      <c r="A571" s="47">
        <v>563</v>
      </c>
      <c r="B571" s="47">
        <v>46</v>
      </c>
      <c r="C571" s="47"/>
      <c r="D571" s="47"/>
      <c r="E571" s="49"/>
      <c r="F571" s="49"/>
      <c r="G571" s="49" t="s">
        <v>1314</v>
      </c>
      <c r="H571" s="47" t="s">
        <v>1315</v>
      </c>
      <c r="I571" s="43" t="str">
        <f t="shared" si="38"/>
        <v>自制设备</v>
      </c>
      <c r="J571" s="44" t="str">
        <f t="shared" si="39"/>
        <v>自制设备 洗涤旋流器</v>
      </c>
      <c r="K571" s="43">
        <f>COUNTIF($J$2:J571,J571)</f>
        <v>1</v>
      </c>
    </row>
    <row r="572" spans="1:11">
      <c r="A572" s="47">
        <v>564</v>
      </c>
      <c r="B572" s="47">
        <v>47</v>
      </c>
      <c r="C572" s="47"/>
      <c r="D572" s="47"/>
      <c r="E572" s="49"/>
      <c r="F572" s="49"/>
      <c r="G572" s="49" t="s">
        <v>251</v>
      </c>
      <c r="H572" s="47" t="s">
        <v>1316</v>
      </c>
      <c r="I572" s="43" t="str">
        <f t="shared" si="38"/>
        <v>自制设备</v>
      </c>
      <c r="J572" s="44" t="str">
        <f t="shared" si="39"/>
        <v>自制设备 胚芽旋流器</v>
      </c>
      <c r="K572" s="43">
        <f>COUNTIF($J$2:J572,J572)</f>
        <v>1</v>
      </c>
    </row>
    <row r="573" spans="1:11">
      <c r="A573" s="47">
        <v>565</v>
      </c>
      <c r="B573" s="47">
        <v>48</v>
      </c>
      <c r="C573" s="47"/>
      <c r="D573" s="47"/>
      <c r="E573" s="49"/>
      <c r="F573" s="49"/>
      <c r="G573" s="49" t="s">
        <v>249</v>
      </c>
      <c r="H573" s="47" t="s">
        <v>1317</v>
      </c>
      <c r="I573" s="43" t="str">
        <f t="shared" si="38"/>
        <v>自制设备</v>
      </c>
      <c r="J573" s="44" t="str">
        <f t="shared" si="39"/>
        <v>自制设备 除砂旋流器</v>
      </c>
      <c r="K573" s="43">
        <f>COUNTIF($J$2:J573,J573)</f>
        <v>1</v>
      </c>
    </row>
    <row r="574" spans="1:11">
      <c r="A574" s="47">
        <v>566</v>
      </c>
      <c r="B574" s="47">
        <v>49</v>
      </c>
      <c r="C574" s="47"/>
      <c r="D574" s="47"/>
      <c r="E574" s="49"/>
      <c r="F574" s="49"/>
      <c r="G574" s="49" t="s">
        <v>1318</v>
      </c>
      <c r="H574" s="47" t="s">
        <v>1319</v>
      </c>
      <c r="I574" s="43" t="str">
        <f t="shared" si="38"/>
        <v>自制设备</v>
      </c>
      <c r="J574" s="44" t="str">
        <f t="shared" si="39"/>
        <v>自制设备 二氧化硫吸收塔</v>
      </c>
      <c r="K574" s="43">
        <f>COUNTIF($J$2:J574,J574)</f>
        <v>1</v>
      </c>
    </row>
    <row r="575" spans="1:11">
      <c r="A575" s="47">
        <v>567</v>
      </c>
      <c r="B575" s="47">
        <v>50</v>
      </c>
      <c r="C575" s="47"/>
      <c r="D575" s="47"/>
      <c r="E575" s="49"/>
      <c r="F575" s="49"/>
      <c r="G575" s="49" t="s">
        <v>1320</v>
      </c>
      <c r="H575" s="47" t="s">
        <v>1321</v>
      </c>
      <c r="I575" s="43" t="str">
        <f t="shared" si="38"/>
        <v>自制设备</v>
      </c>
      <c r="J575" s="44" t="str">
        <f t="shared" si="39"/>
        <v>自制设备 消音器</v>
      </c>
      <c r="K575" s="43">
        <f>COUNTIF($J$2:J575,J575)</f>
        <v>1</v>
      </c>
    </row>
    <row r="576" spans="1:11">
      <c r="A576" s="47">
        <v>568</v>
      </c>
      <c r="B576" s="47">
        <v>51</v>
      </c>
      <c r="C576" s="47"/>
      <c r="D576" s="47"/>
      <c r="E576" s="49"/>
      <c r="F576" s="49"/>
      <c r="G576" s="49" t="s">
        <v>1322</v>
      </c>
      <c r="H576" s="47" t="s">
        <v>1323</v>
      </c>
      <c r="I576" s="43" t="str">
        <f t="shared" si="38"/>
        <v>自制设备</v>
      </c>
      <c r="J576" s="44" t="str">
        <f t="shared" si="39"/>
        <v>自制设备 多级液化器</v>
      </c>
      <c r="K576" s="43">
        <f>COUNTIF($J$2:J576,J576)</f>
        <v>1</v>
      </c>
    </row>
    <row r="577" spans="1:11">
      <c r="A577" s="47">
        <v>569</v>
      </c>
      <c r="B577" s="47">
        <v>52</v>
      </c>
      <c r="C577" s="47"/>
      <c r="D577" s="47"/>
      <c r="E577" s="49"/>
      <c r="F577" s="49"/>
      <c r="G577" s="49" t="s">
        <v>1324</v>
      </c>
      <c r="H577" s="47" t="s">
        <v>1325</v>
      </c>
      <c r="I577" s="43" t="str">
        <f t="shared" si="38"/>
        <v>自制设备</v>
      </c>
      <c r="J577" s="44" t="str">
        <f t="shared" si="39"/>
        <v>自制设备 溢流罐</v>
      </c>
      <c r="K577" s="43">
        <f>COUNTIF($J$2:J577,J577)</f>
        <v>1</v>
      </c>
    </row>
    <row r="578" spans="1:11">
      <c r="A578" s="47">
        <v>570</v>
      </c>
      <c r="B578" s="47">
        <v>53</v>
      </c>
      <c r="C578" s="47"/>
      <c r="D578" s="47"/>
      <c r="E578" s="49"/>
      <c r="F578" s="49"/>
      <c r="G578" s="49" t="s">
        <v>245</v>
      </c>
      <c r="H578" s="47" t="s">
        <v>1326</v>
      </c>
      <c r="I578" s="43" t="str">
        <f t="shared" si="38"/>
        <v>自制设备</v>
      </c>
      <c r="J578" s="44" t="str">
        <f t="shared" si="39"/>
        <v>自制设备 压力曲筛</v>
      </c>
      <c r="K578" s="43">
        <f>COUNTIF($J$2:J578,J578)</f>
        <v>1</v>
      </c>
    </row>
    <row r="579" spans="1:11">
      <c r="A579" s="47">
        <v>571</v>
      </c>
      <c r="B579" s="47">
        <v>54</v>
      </c>
      <c r="C579" s="47"/>
      <c r="D579" s="47"/>
      <c r="E579" s="49"/>
      <c r="F579" s="49"/>
      <c r="G579" s="49" t="s">
        <v>1327</v>
      </c>
      <c r="H579" s="47" t="s">
        <v>1328</v>
      </c>
      <c r="I579" s="43" t="str">
        <f t="shared" si="38"/>
        <v>自制设备</v>
      </c>
      <c r="J579" s="44" t="str">
        <f t="shared" si="39"/>
        <v>自制设备 打板扬升器</v>
      </c>
      <c r="K579" s="43">
        <f>COUNTIF($J$2:J579,J579)</f>
        <v>1</v>
      </c>
    </row>
    <row r="580" spans="1:11">
      <c r="A580" s="47">
        <v>572</v>
      </c>
      <c r="B580" s="47">
        <v>55</v>
      </c>
      <c r="C580" s="47"/>
      <c r="D580" s="47"/>
      <c r="E580" s="49"/>
      <c r="F580" s="49"/>
      <c r="G580" s="49" t="s">
        <v>1329</v>
      </c>
      <c r="H580" s="47" t="s">
        <v>1330</v>
      </c>
      <c r="I580" s="43" t="str">
        <f t="shared" si="38"/>
        <v>自制设备</v>
      </c>
      <c r="J580" s="44" t="str">
        <f t="shared" si="39"/>
        <v>自制设备 轮式扬升器</v>
      </c>
      <c r="K580" s="43">
        <f>COUNTIF($J$2:J580,J580)</f>
        <v>1</v>
      </c>
    </row>
    <row r="581" spans="1:11">
      <c r="A581" s="47">
        <v>573</v>
      </c>
      <c r="B581" s="47">
        <v>56</v>
      </c>
      <c r="C581" s="47"/>
      <c r="D581" s="47"/>
      <c r="E581" s="49"/>
      <c r="F581" s="49"/>
      <c r="G581" s="49" t="s">
        <v>243</v>
      </c>
      <c r="H581" s="47" t="s">
        <v>1331</v>
      </c>
      <c r="I581" s="43" t="str">
        <f t="shared" si="38"/>
        <v>自制设备</v>
      </c>
      <c r="J581" s="44" t="str">
        <f t="shared" si="39"/>
        <v>自制设备 重力曲筛</v>
      </c>
      <c r="K581" s="43">
        <f>COUNTIF($J$2:J581,J581)</f>
        <v>1</v>
      </c>
    </row>
    <row r="582" spans="1:11">
      <c r="A582" s="47">
        <v>574</v>
      </c>
      <c r="B582" s="47">
        <v>57</v>
      </c>
      <c r="C582" s="47"/>
      <c r="D582" s="47"/>
      <c r="E582" s="49"/>
      <c r="F582" s="49"/>
      <c r="G582" s="49" t="s">
        <v>1332</v>
      </c>
      <c r="H582" s="47" t="s">
        <v>1333</v>
      </c>
      <c r="I582" s="43" t="str">
        <f t="shared" si="38"/>
        <v>自制设备</v>
      </c>
      <c r="J582" s="44" t="str">
        <f t="shared" si="39"/>
        <v>自制设备 布翻机</v>
      </c>
      <c r="K582" s="43">
        <f>COUNTIF($J$2:J582,J582)</f>
        <v>1</v>
      </c>
    </row>
    <row r="583" spans="1:11">
      <c r="A583" s="47">
        <v>575</v>
      </c>
      <c r="B583" s="47">
        <v>58</v>
      </c>
      <c r="C583" s="47"/>
      <c r="D583" s="47"/>
      <c r="E583" s="49"/>
      <c r="F583" s="49"/>
      <c r="G583" s="49" t="s">
        <v>1334</v>
      </c>
      <c r="H583" s="47" t="s">
        <v>1335</v>
      </c>
      <c r="I583" s="43" t="str">
        <f t="shared" si="38"/>
        <v>自制设备</v>
      </c>
      <c r="J583" s="44" t="str">
        <f t="shared" si="39"/>
        <v>自制设备 布料机</v>
      </c>
      <c r="K583" s="43">
        <f>COUNTIF($J$2:J583,J583)</f>
        <v>1</v>
      </c>
    </row>
    <row r="584" spans="1:11">
      <c r="A584" s="47">
        <v>576</v>
      </c>
      <c r="B584" s="47">
        <v>59</v>
      </c>
      <c r="C584" s="47"/>
      <c r="D584" s="47"/>
      <c r="E584" s="49"/>
      <c r="F584" s="49"/>
      <c r="G584" s="49" t="s">
        <v>1336</v>
      </c>
      <c r="H584" s="47" t="s">
        <v>1337</v>
      </c>
      <c r="I584" s="43" t="str">
        <f t="shared" si="38"/>
        <v>自制设备</v>
      </c>
      <c r="J584" s="44" t="str">
        <f t="shared" si="39"/>
        <v>自制设备 布酱机</v>
      </c>
      <c r="K584" s="43">
        <f>COUNTIF($J$2:J584,J584)</f>
        <v>1</v>
      </c>
    </row>
    <row r="585" spans="1:11">
      <c r="A585" s="47">
        <v>577</v>
      </c>
      <c r="B585" s="47">
        <v>60</v>
      </c>
      <c r="C585" s="47"/>
      <c r="D585" s="47"/>
      <c r="E585" s="49"/>
      <c r="F585" s="49"/>
      <c r="G585" s="49" t="s">
        <v>1338</v>
      </c>
      <c r="H585" s="47" t="s">
        <v>1339</v>
      </c>
      <c r="I585" s="43" t="str">
        <f t="shared" si="38"/>
        <v>自制设备</v>
      </c>
      <c r="J585" s="44" t="str">
        <f t="shared" si="39"/>
        <v>自制设备 轨道车</v>
      </c>
      <c r="K585" s="43">
        <f>COUNTIF($J$2:J585,J585)</f>
        <v>1</v>
      </c>
    </row>
    <row r="586" spans="1:11">
      <c r="A586" s="47">
        <v>578</v>
      </c>
      <c r="B586" s="47">
        <v>61</v>
      </c>
      <c r="C586" s="47"/>
      <c r="D586" s="47"/>
      <c r="E586" s="49"/>
      <c r="F586" s="49"/>
      <c r="G586" s="49" t="s">
        <v>1340</v>
      </c>
      <c r="H586" s="47" t="s">
        <v>1341</v>
      </c>
      <c r="I586" s="43" t="str">
        <f t="shared" si="38"/>
        <v>自制设备</v>
      </c>
      <c r="J586" s="44" t="str">
        <f t="shared" si="39"/>
        <v>自制设备 出料机</v>
      </c>
      <c r="K586" s="43">
        <f>COUNTIF($J$2:J586,J586)</f>
        <v>1</v>
      </c>
    </row>
    <row r="587" spans="1:11">
      <c r="A587" s="47">
        <v>579</v>
      </c>
      <c r="B587" s="47">
        <v>62</v>
      </c>
      <c r="C587" s="47"/>
      <c r="D587" s="47"/>
      <c r="E587" s="49"/>
      <c r="F587" s="49"/>
      <c r="G587" s="49" t="s">
        <v>1342</v>
      </c>
      <c r="H587" s="47" t="s">
        <v>1343</v>
      </c>
      <c r="I587" s="43" t="str">
        <f t="shared" si="38"/>
        <v>自制设备</v>
      </c>
      <c r="J587" s="44" t="str">
        <f t="shared" si="39"/>
        <v>自制设备 气垫转运车</v>
      </c>
      <c r="K587" s="43">
        <f>COUNTIF($J$2:J587,J587)</f>
        <v>1</v>
      </c>
    </row>
    <row r="588" spans="1:11">
      <c r="A588" s="47">
        <v>580</v>
      </c>
      <c r="B588" s="47">
        <v>63</v>
      </c>
      <c r="C588" s="47"/>
      <c r="D588" s="47"/>
      <c r="E588" s="49"/>
      <c r="F588" s="49"/>
      <c r="G588" s="49" t="s">
        <v>1344</v>
      </c>
      <c r="H588" s="47" t="s">
        <v>1345</v>
      </c>
      <c r="I588" s="43" t="str">
        <f t="shared" si="38"/>
        <v>自制设备</v>
      </c>
      <c r="J588" s="44" t="str">
        <f t="shared" si="39"/>
        <v>自制设备 翻料机</v>
      </c>
      <c r="K588" s="43">
        <f>COUNTIF($J$2:J588,J588)</f>
        <v>1</v>
      </c>
    </row>
    <row r="589" spans="1:11">
      <c r="A589" s="47">
        <v>581</v>
      </c>
      <c r="B589" s="47">
        <v>64</v>
      </c>
      <c r="C589" s="47"/>
      <c r="D589" s="47"/>
      <c r="E589" s="49"/>
      <c r="F589" s="49"/>
      <c r="G589" s="49" t="s">
        <v>1346</v>
      </c>
      <c r="H589" s="47" t="s">
        <v>1347</v>
      </c>
      <c r="I589" s="43" t="str">
        <f t="shared" si="38"/>
        <v>自制设备</v>
      </c>
      <c r="J589" s="44" t="str">
        <f t="shared" si="39"/>
        <v>自制设备 生态发酵机</v>
      </c>
      <c r="K589" s="43">
        <f>COUNTIF($J$2:J589,J589)</f>
        <v>1</v>
      </c>
    </row>
    <row r="590" spans="1:11">
      <c r="A590" s="47">
        <v>582</v>
      </c>
      <c r="B590" s="47">
        <v>65</v>
      </c>
      <c r="C590" s="47"/>
      <c r="D590" s="47"/>
      <c r="E590" s="49"/>
      <c r="F590" s="49"/>
      <c r="G590" s="49" t="s">
        <v>1348</v>
      </c>
      <c r="H590" s="47" t="s">
        <v>1349</v>
      </c>
      <c r="I590" s="43" t="str">
        <f t="shared" si="38"/>
        <v>自制设备</v>
      </c>
      <c r="J590" s="44" t="str">
        <f t="shared" si="39"/>
        <v>自制设备 膜式过滤器</v>
      </c>
      <c r="K590" s="43">
        <f>COUNTIF($J$2:J590,J590)</f>
        <v>1</v>
      </c>
    </row>
    <row r="591" spans="1:11">
      <c r="A591" s="47">
        <v>583</v>
      </c>
      <c r="B591" s="47">
        <v>66</v>
      </c>
      <c r="C591" s="47"/>
      <c r="D591" s="47"/>
      <c r="E591" s="49"/>
      <c r="F591" s="49"/>
      <c r="G591" s="49" t="s">
        <v>1350</v>
      </c>
      <c r="H591" s="47" t="s">
        <v>1351</v>
      </c>
      <c r="I591" s="43" t="str">
        <f t="shared" si="38"/>
        <v>自制设备</v>
      </c>
      <c r="J591" s="44" t="str">
        <f t="shared" si="39"/>
        <v>自制设备 过渡笼</v>
      </c>
      <c r="K591" s="43">
        <f>COUNTIF($J$2:J591,J591)</f>
        <v>1</v>
      </c>
    </row>
    <row r="592" spans="1:11">
      <c r="A592" s="47">
        <v>584</v>
      </c>
      <c r="B592" s="47">
        <v>67</v>
      </c>
      <c r="C592" s="47"/>
      <c r="D592" s="47"/>
      <c r="E592" s="49"/>
      <c r="F592" s="49"/>
      <c r="G592" s="49" t="s">
        <v>1352</v>
      </c>
      <c r="H592" s="47" t="s">
        <v>1353</v>
      </c>
      <c r="I592" s="43" t="str">
        <f t="shared" si="38"/>
        <v>自制设备</v>
      </c>
      <c r="J592" s="44" t="str">
        <f t="shared" si="39"/>
        <v>自制设备 轻压笼</v>
      </c>
      <c r="K592" s="43">
        <f>COUNTIF($J$2:J592,J592)</f>
        <v>1</v>
      </c>
    </row>
    <row r="593" spans="1:11">
      <c r="A593" s="47">
        <v>585</v>
      </c>
      <c r="B593" s="47">
        <v>68</v>
      </c>
      <c r="C593" s="47"/>
      <c r="D593" s="47"/>
      <c r="E593" s="49"/>
      <c r="F593" s="49"/>
      <c r="G593" s="49" t="s">
        <v>1354</v>
      </c>
      <c r="H593" s="47" t="s">
        <v>1355</v>
      </c>
      <c r="I593" s="43" t="str">
        <f t="shared" si="38"/>
        <v>自制设备</v>
      </c>
      <c r="J593" s="44" t="str">
        <f t="shared" si="39"/>
        <v>自制设备 重压笼</v>
      </c>
      <c r="K593" s="43">
        <f>COUNTIF($J$2:J593,J593)</f>
        <v>1</v>
      </c>
    </row>
    <row r="594" spans="1:11">
      <c r="A594" s="47">
        <v>586</v>
      </c>
      <c r="B594" s="47">
        <v>69</v>
      </c>
      <c r="C594" s="47"/>
      <c r="D594" s="47"/>
      <c r="E594" s="49"/>
      <c r="F594" s="49"/>
      <c r="G594" s="49" t="s">
        <v>1356</v>
      </c>
      <c r="H594" s="47" t="s">
        <v>1357</v>
      </c>
      <c r="I594" s="43" t="str">
        <f t="shared" si="38"/>
        <v>自制设备</v>
      </c>
      <c r="J594" s="44" t="str">
        <f t="shared" si="39"/>
        <v>自制设备 好氧发酵床及附件</v>
      </c>
      <c r="K594" s="43">
        <f>COUNTIF($J$2:J594,J594)</f>
        <v>1</v>
      </c>
    </row>
    <row r="595" spans="1:11">
      <c r="A595" s="47">
        <v>587</v>
      </c>
      <c r="B595" s="47">
        <v>70</v>
      </c>
      <c r="C595" s="47"/>
      <c r="D595" s="47"/>
      <c r="E595" s="49"/>
      <c r="F595" s="49"/>
      <c r="G595" s="49" t="s">
        <v>1358</v>
      </c>
      <c r="H595" s="47" t="s">
        <v>1359</v>
      </c>
      <c r="I595" s="43" t="str">
        <f t="shared" si="38"/>
        <v>自制设备</v>
      </c>
      <c r="J595" s="44" t="str">
        <f t="shared" si="39"/>
        <v>自制设备 厌氧发酵床及附件</v>
      </c>
      <c r="K595" s="43">
        <f>COUNTIF($J$2:J595,J595)</f>
        <v>1</v>
      </c>
    </row>
    <row r="596" spans="1:11">
      <c r="A596" s="47">
        <v>588</v>
      </c>
      <c r="B596" s="47">
        <v>71</v>
      </c>
      <c r="C596" s="47"/>
      <c r="D596" s="47"/>
      <c r="E596" s="49"/>
      <c r="F596" s="49"/>
      <c r="G596" s="49" t="s">
        <v>1360</v>
      </c>
      <c r="H596" s="47" t="s">
        <v>1361</v>
      </c>
      <c r="I596" s="43" t="str">
        <f t="shared" si="38"/>
        <v>自制设备</v>
      </c>
      <c r="J596" s="44" t="str">
        <f t="shared" si="39"/>
        <v>自制设备 螺带斗式发酵机</v>
      </c>
      <c r="K596" s="43">
        <f>COUNTIF($J$2:J596,J596)</f>
        <v>1</v>
      </c>
    </row>
    <row r="597" spans="1:11">
      <c r="A597" s="47">
        <v>589</v>
      </c>
      <c r="B597" s="47">
        <v>72</v>
      </c>
      <c r="C597" s="47"/>
      <c r="D597" s="47"/>
      <c r="E597" s="49"/>
      <c r="F597" s="49"/>
      <c r="G597" s="49" t="s">
        <v>1362</v>
      </c>
      <c r="H597" s="47" t="s">
        <v>1363</v>
      </c>
      <c r="I597" s="43" t="str">
        <f t="shared" si="38"/>
        <v>自制设备</v>
      </c>
      <c r="J597" s="44" t="str">
        <f t="shared" si="39"/>
        <v>自制设备 配料秤</v>
      </c>
      <c r="K597" s="43">
        <f>COUNTIF($J$2:J597,J597)</f>
        <v>1</v>
      </c>
    </row>
    <row r="598" spans="1:11">
      <c r="A598" s="47">
        <v>590</v>
      </c>
      <c r="B598" s="47">
        <v>73</v>
      </c>
      <c r="C598" s="47"/>
      <c r="D598" s="47"/>
      <c r="E598" s="49"/>
      <c r="F598" s="49"/>
      <c r="G598" s="49" t="s">
        <v>1364</v>
      </c>
      <c r="H598" s="47" t="s">
        <v>1365</v>
      </c>
      <c r="I598" s="43" t="str">
        <f t="shared" si="38"/>
        <v>自制设备</v>
      </c>
      <c r="J598" s="44" t="str">
        <f t="shared" si="39"/>
        <v>自制设备 转臂发酵机</v>
      </c>
      <c r="K598" s="43">
        <f>COUNTIF($J$2:J598,J598)</f>
        <v>1</v>
      </c>
    </row>
    <row r="599" spans="1:11">
      <c r="A599" s="47">
        <v>591</v>
      </c>
      <c r="B599" s="47">
        <v>74</v>
      </c>
      <c r="C599" s="47"/>
      <c r="D599" s="47"/>
      <c r="E599" s="49"/>
      <c r="F599" s="49"/>
      <c r="G599" s="49" t="s">
        <v>1366</v>
      </c>
      <c r="H599" s="47" t="s">
        <v>1367</v>
      </c>
      <c r="I599" s="43" t="str">
        <f t="shared" si="38"/>
        <v>自制设备</v>
      </c>
      <c r="J599" s="44" t="str">
        <f t="shared" si="39"/>
        <v>自制设备 转盘发酵机</v>
      </c>
      <c r="K599" s="43">
        <f>COUNTIF($J$2:J599,J599)</f>
        <v>1</v>
      </c>
    </row>
    <row r="600" spans="1:11">
      <c r="A600" s="47">
        <v>592</v>
      </c>
      <c r="B600" s="47">
        <v>75</v>
      </c>
      <c r="C600" s="47"/>
      <c r="D600" s="47"/>
      <c r="E600" s="49"/>
      <c r="F600" s="49"/>
      <c r="G600" s="49" t="s">
        <v>1368</v>
      </c>
      <c r="H600" s="47" t="s">
        <v>1369</v>
      </c>
      <c r="I600" s="43" t="str">
        <f t="shared" si="38"/>
        <v>自制设备</v>
      </c>
      <c r="J600" s="44" t="str">
        <f t="shared" si="39"/>
        <v>自制设备 豆粕冷风机</v>
      </c>
      <c r="K600" s="43">
        <f>COUNTIF($J$2:J600,J600)</f>
        <v>1</v>
      </c>
    </row>
    <row r="601" spans="1:11">
      <c r="A601" s="47">
        <v>593</v>
      </c>
      <c r="B601" s="47">
        <v>76</v>
      </c>
      <c r="C601" s="47"/>
      <c r="D601" s="47"/>
      <c r="E601" s="49"/>
      <c r="F601" s="49"/>
      <c r="G601" s="49" t="s">
        <v>1370</v>
      </c>
      <c r="H601" s="47" t="s">
        <v>1371</v>
      </c>
      <c r="I601" s="43" t="str">
        <f t="shared" si="38"/>
        <v>自制设备</v>
      </c>
      <c r="J601" s="44" t="str">
        <f t="shared" si="39"/>
        <v>自制设备 小麦冷风机</v>
      </c>
      <c r="K601" s="43">
        <f>COUNTIF($J$2:J601,J601)</f>
        <v>1</v>
      </c>
    </row>
    <row r="602" spans="1:11">
      <c r="A602" s="47">
        <v>594</v>
      </c>
      <c r="B602" s="47">
        <v>77</v>
      </c>
      <c r="C602" s="47"/>
      <c r="D602" s="47"/>
      <c r="E602" s="49"/>
      <c r="F602" s="49"/>
      <c r="G602" s="49" t="s">
        <v>1372</v>
      </c>
      <c r="H602" s="47" t="s">
        <v>1373</v>
      </c>
      <c r="I602" s="43" t="str">
        <f t="shared" ref="I602:I665" si="40">IF(COUNTA(C602)=1,C602,I601)</f>
        <v>自制设备</v>
      </c>
      <c r="J602" s="44" t="str">
        <f t="shared" ref="J602:J665" si="41">CONCATENATE(I602," ",G602)</f>
        <v>自制设备 摊凉机</v>
      </c>
      <c r="K602" s="43">
        <f>COUNTIF($J$2:J602,J602)</f>
        <v>1</v>
      </c>
    </row>
    <row r="603" spans="1:11">
      <c r="A603" s="47">
        <v>595</v>
      </c>
      <c r="B603" s="47">
        <v>78</v>
      </c>
      <c r="C603" s="47"/>
      <c r="D603" s="47"/>
      <c r="E603" s="49"/>
      <c r="F603" s="49"/>
      <c r="G603" s="49" t="s">
        <v>1374</v>
      </c>
      <c r="H603" s="47" t="s">
        <v>1375</v>
      </c>
      <c r="I603" s="43" t="str">
        <f t="shared" si="40"/>
        <v>自制设备</v>
      </c>
      <c r="J603" s="44" t="str">
        <f t="shared" si="41"/>
        <v>自制设备 回转蒸煮罐</v>
      </c>
      <c r="K603" s="43">
        <f>COUNTIF($J$2:J603,J603)</f>
        <v>1</v>
      </c>
    </row>
    <row r="604" spans="1:11">
      <c r="A604" s="47">
        <v>596</v>
      </c>
      <c r="B604" s="47">
        <v>79</v>
      </c>
      <c r="C604" s="47"/>
      <c r="D604" s="47"/>
      <c r="E604" s="49"/>
      <c r="F604" s="49"/>
      <c r="G604" s="49" t="s">
        <v>1376</v>
      </c>
      <c r="H604" s="47" t="s">
        <v>1377</v>
      </c>
      <c r="I604" s="43" t="str">
        <f t="shared" si="40"/>
        <v>自制设备</v>
      </c>
      <c r="J604" s="44" t="str">
        <f t="shared" si="41"/>
        <v>自制设备 料斗提升机</v>
      </c>
      <c r="K604" s="43">
        <f>COUNTIF($J$2:J604,J604)</f>
        <v>1</v>
      </c>
    </row>
    <row r="605" spans="1:11">
      <c r="A605" s="47">
        <v>597</v>
      </c>
      <c r="B605" s="47">
        <v>80</v>
      </c>
      <c r="C605" s="47"/>
      <c r="D605" s="47"/>
      <c r="E605" s="49"/>
      <c r="F605" s="49"/>
      <c r="G605" s="49" t="s">
        <v>1378</v>
      </c>
      <c r="H605" s="47" t="s">
        <v>1379</v>
      </c>
      <c r="I605" s="43" t="str">
        <f t="shared" si="40"/>
        <v>自制设备</v>
      </c>
      <c r="J605" s="44" t="str">
        <f t="shared" si="41"/>
        <v>自制设备 节能蒸发罐</v>
      </c>
      <c r="K605" s="43">
        <f>COUNTIF($J$2:J605,J605)</f>
        <v>1</v>
      </c>
    </row>
    <row r="606" spans="1:11">
      <c r="A606" s="47">
        <v>598</v>
      </c>
      <c r="B606" s="47">
        <v>81</v>
      </c>
      <c r="C606" s="47"/>
      <c r="D606" s="47"/>
      <c r="E606" s="49"/>
      <c r="F606" s="49"/>
      <c r="G606" s="49" t="s">
        <v>1380</v>
      </c>
      <c r="H606" s="47" t="s">
        <v>1381</v>
      </c>
      <c r="I606" s="43" t="str">
        <f t="shared" si="40"/>
        <v>自制设备</v>
      </c>
      <c r="J606" s="44" t="str">
        <f t="shared" si="41"/>
        <v>自制设备 结晶器DTB</v>
      </c>
      <c r="K606" s="43">
        <f>COUNTIF($J$2:J606,J606)</f>
        <v>1</v>
      </c>
    </row>
    <row r="607" spans="1:11">
      <c r="A607" s="47">
        <v>599</v>
      </c>
      <c r="B607" s="47">
        <v>82</v>
      </c>
      <c r="C607" s="47"/>
      <c r="D607" s="47"/>
      <c r="E607" s="49"/>
      <c r="F607" s="49"/>
      <c r="G607" s="49" t="s">
        <v>1382</v>
      </c>
      <c r="H607" s="47" t="s">
        <v>1383</v>
      </c>
      <c r="I607" s="43" t="str">
        <f t="shared" si="40"/>
        <v>自制设备</v>
      </c>
      <c r="J607" s="44" t="str">
        <f t="shared" si="41"/>
        <v>自制设备 结晶器FC</v>
      </c>
      <c r="K607" s="43">
        <f>COUNTIF($J$2:J607,J607)</f>
        <v>1</v>
      </c>
    </row>
    <row r="608" spans="1:11">
      <c r="A608" s="47">
        <v>600</v>
      </c>
      <c r="B608" s="47">
        <v>83</v>
      </c>
      <c r="C608" s="47"/>
      <c r="D608" s="47"/>
      <c r="E608" s="49"/>
      <c r="F608" s="49"/>
      <c r="G608" s="49" t="s">
        <v>1384</v>
      </c>
      <c r="H608" s="47" t="s">
        <v>1385</v>
      </c>
      <c r="I608" s="43" t="str">
        <f t="shared" si="40"/>
        <v>自制设备</v>
      </c>
      <c r="J608" s="44" t="str">
        <f t="shared" si="41"/>
        <v>自制设备 结晶器OSLO</v>
      </c>
      <c r="K608" s="43">
        <f>COUNTIF($J$2:J608,J608)</f>
        <v>1</v>
      </c>
    </row>
    <row r="609" spans="1:11">
      <c r="A609" s="47">
        <v>601</v>
      </c>
      <c r="B609" s="47">
        <v>84</v>
      </c>
      <c r="C609" s="47"/>
      <c r="D609" s="47"/>
      <c r="E609" s="49"/>
      <c r="F609" s="49"/>
      <c r="G609" s="49" t="s">
        <v>1386</v>
      </c>
      <c r="H609" s="47" t="s">
        <v>1387</v>
      </c>
      <c r="I609" s="43" t="str">
        <f t="shared" si="40"/>
        <v>自制设备</v>
      </c>
      <c r="J609" s="44" t="str">
        <f t="shared" si="41"/>
        <v>自制设备 稠厚罐</v>
      </c>
      <c r="K609" s="43">
        <f>COUNTIF($J$2:J609,J609)</f>
        <v>1</v>
      </c>
    </row>
    <row r="610" spans="1:11">
      <c r="A610" s="47">
        <v>602</v>
      </c>
      <c r="B610" s="47">
        <v>85</v>
      </c>
      <c r="C610" s="47"/>
      <c r="D610" s="47"/>
      <c r="E610" s="49"/>
      <c r="F610" s="49"/>
      <c r="G610" s="49" t="s">
        <v>1388</v>
      </c>
      <c r="H610" s="47" t="s">
        <v>1389</v>
      </c>
      <c r="I610" s="43" t="str">
        <f t="shared" si="40"/>
        <v>自制设备</v>
      </c>
      <c r="J610" s="44" t="str">
        <f t="shared" si="41"/>
        <v>自制设备 节能表冷器</v>
      </c>
      <c r="K610" s="43">
        <f>COUNTIF($J$2:J610,J610)</f>
        <v>1</v>
      </c>
    </row>
    <row r="611" spans="1:11">
      <c r="A611" s="47">
        <v>603</v>
      </c>
      <c r="B611" s="47">
        <v>86</v>
      </c>
      <c r="C611" s="47"/>
      <c r="D611" s="47"/>
      <c r="E611" s="49"/>
      <c r="F611" s="49"/>
      <c r="G611" s="49" t="s">
        <v>1390</v>
      </c>
      <c r="H611" s="47" t="s">
        <v>1391</v>
      </c>
      <c r="I611" s="43" t="str">
        <f t="shared" si="40"/>
        <v>自制设备</v>
      </c>
      <c r="J611" s="44" t="str">
        <f t="shared" si="41"/>
        <v>自制设备 节能换热器</v>
      </c>
      <c r="K611" s="43">
        <f>COUNTIF($J$2:J611,J611)</f>
        <v>1</v>
      </c>
    </row>
    <row r="612" spans="1:11">
      <c r="A612" s="47">
        <v>604</v>
      </c>
      <c r="B612" s="47">
        <v>87</v>
      </c>
      <c r="C612" s="47"/>
      <c r="D612" s="47"/>
      <c r="E612" s="49"/>
      <c r="F612" s="49"/>
      <c r="G612" s="49" t="s">
        <v>1392</v>
      </c>
      <c r="H612" s="47" t="s">
        <v>1393</v>
      </c>
      <c r="I612" s="43" t="str">
        <f t="shared" si="40"/>
        <v>自制设备</v>
      </c>
      <c r="J612" s="44" t="str">
        <f t="shared" si="41"/>
        <v>自制设备 洗涤塔L</v>
      </c>
      <c r="K612" s="43">
        <f>COUNTIF($J$2:J612,J612)</f>
        <v>1</v>
      </c>
    </row>
    <row r="613" spans="1:11">
      <c r="A613" s="47">
        <v>605</v>
      </c>
      <c r="B613" s="47">
        <v>88</v>
      </c>
      <c r="C613" s="47"/>
      <c r="D613" s="47"/>
      <c r="E613" s="49"/>
      <c r="F613" s="49"/>
      <c r="G613" s="49" t="s">
        <v>1394</v>
      </c>
      <c r="H613" s="47" t="s">
        <v>1395</v>
      </c>
      <c r="I613" s="43" t="str">
        <f t="shared" si="40"/>
        <v>自制设备</v>
      </c>
      <c r="J613" s="44" t="str">
        <f t="shared" si="41"/>
        <v>自制设备 多程降膜蒸发器</v>
      </c>
      <c r="K613" s="43">
        <f>COUNTIF($J$2:J613,J613)</f>
        <v>1</v>
      </c>
    </row>
    <row r="614" spans="1:11">
      <c r="A614" s="47">
        <v>606</v>
      </c>
      <c r="B614" s="47">
        <v>89</v>
      </c>
      <c r="C614" s="47"/>
      <c r="D614" s="47"/>
      <c r="E614" s="49"/>
      <c r="F614" s="49"/>
      <c r="G614" s="49" t="s">
        <v>1396</v>
      </c>
      <c r="H614" s="47" t="s">
        <v>1397</v>
      </c>
      <c r="I614" s="43" t="str">
        <f t="shared" si="40"/>
        <v>自制设备</v>
      </c>
      <c r="J614" s="44" t="str">
        <f t="shared" si="41"/>
        <v>自制设备 横管降膜式蒸发器</v>
      </c>
      <c r="K614" s="43">
        <f>COUNTIF($J$2:J614,J614)</f>
        <v>1</v>
      </c>
    </row>
    <row r="615" spans="1:11">
      <c r="A615" s="47">
        <v>607</v>
      </c>
      <c r="B615" s="47">
        <v>90</v>
      </c>
      <c r="C615" s="47"/>
      <c r="D615" s="47"/>
      <c r="E615" s="49"/>
      <c r="F615" s="49"/>
      <c r="G615" s="49" t="s">
        <v>1398</v>
      </c>
      <c r="H615" s="47" t="s">
        <v>1399</v>
      </c>
      <c r="I615" s="43" t="str">
        <f t="shared" si="40"/>
        <v>自制设备</v>
      </c>
      <c r="J615" s="44" t="str">
        <f t="shared" si="41"/>
        <v>自制设备 降膜蒸发器F</v>
      </c>
      <c r="K615" s="43">
        <f>COUNTIF($J$2:J615,J615)</f>
        <v>1</v>
      </c>
    </row>
    <row r="616" spans="1:11">
      <c r="A616" s="47">
        <v>608</v>
      </c>
      <c r="B616" s="47">
        <v>91</v>
      </c>
      <c r="C616" s="47"/>
      <c r="D616" s="47"/>
      <c r="E616" s="49"/>
      <c r="F616" s="49"/>
      <c r="G616" s="49" t="s">
        <v>1400</v>
      </c>
      <c r="H616" s="47" t="s">
        <v>1401</v>
      </c>
      <c r="I616" s="43" t="str">
        <f t="shared" si="40"/>
        <v>自制设备</v>
      </c>
      <c r="J616" s="44" t="str">
        <f t="shared" si="41"/>
        <v>自制设备 循环加热器L</v>
      </c>
      <c r="K616" s="43">
        <f>COUNTIF($J$2:J616,J616)</f>
        <v>1</v>
      </c>
    </row>
    <row r="617" spans="1:11">
      <c r="A617" s="47">
        <v>609</v>
      </c>
      <c r="B617" s="47">
        <v>92</v>
      </c>
      <c r="C617" s="47"/>
      <c r="D617" s="47"/>
      <c r="E617" s="49"/>
      <c r="F617" s="49"/>
      <c r="G617" s="49" t="s">
        <v>1402</v>
      </c>
      <c r="H617" s="47" t="s">
        <v>1403</v>
      </c>
      <c r="I617" s="43" t="str">
        <f t="shared" si="40"/>
        <v>自制设备</v>
      </c>
      <c r="J617" s="44" t="str">
        <f t="shared" si="41"/>
        <v>自制设备 分级机</v>
      </c>
      <c r="K617" s="43">
        <f>COUNTIF($J$2:J617,J617)</f>
        <v>1</v>
      </c>
    </row>
    <row r="618" spans="1:11">
      <c r="A618" s="47">
        <v>610</v>
      </c>
      <c r="B618" s="47">
        <v>93</v>
      </c>
      <c r="C618" s="47"/>
      <c r="D618" s="47"/>
      <c r="E618" s="49"/>
      <c r="F618" s="49"/>
      <c r="G618" s="49" t="s">
        <v>1404</v>
      </c>
      <c r="H618" s="47" t="s">
        <v>1405</v>
      </c>
      <c r="I618" s="43" t="str">
        <f t="shared" si="40"/>
        <v>自制设备</v>
      </c>
      <c r="J618" s="44" t="str">
        <f t="shared" si="41"/>
        <v>自制设备 分选机</v>
      </c>
      <c r="K618" s="43">
        <f>COUNTIF($J$2:J618,J618)</f>
        <v>1</v>
      </c>
    </row>
    <row r="619" spans="1:11">
      <c r="A619" s="47">
        <v>611</v>
      </c>
      <c r="B619" s="47">
        <v>94</v>
      </c>
      <c r="C619" s="47"/>
      <c r="D619" s="47"/>
      <c r="E619" s="49"/>
      <c r="F619" s="49"/>
      <c r="G619" s="49" t="s">
        <v>1406</v>
      </c>
      <c r="H619" s="47" t="s">
        <v>1407</v>
      </c>
      <c r="I619" s="43" t="str">
        <f t="shared" si="40"/>
        <v>自制设备</v>
      </c>
      <c r="J619" s="44" t="str">
        <f t="shared" si="41"/>
        <v>自制设备 落地磨机</v>
      </c>
      <c r="K619" s="43">
        <f>COUNTIF($J$2:J619,J619)</f>
        <v>1</v>
      </c>
    </row>
    <row r="620" spans="1:11">
      <c r="A620" s="47">
        <v>612</v>
      </c>
      <c r="B620" s="47">
        <v>95</v>
      </c>
      <c r="C620" s="47"/>
      <c r="D620" s="47"/>
      <c r="E620" s="49"/>
      <c r="F620" s="49"/>
      <c r="G620" s="49" t="s">
        <v>1408</v>
      </c>
      <c r="H620" s="47" t="s">
        <v>1409</v>
      </c>
      <c r="I620" s="43" t="str">
        <f t="shared" si="40"/>
        <v>自制设备</v>
      </c>
      <c r="J620" s="44" t="str">
        <f t="shared" si="41"/>
        <v>自制设备 针型冲击磨</v>
      </c>
      <c r="K620" s="43">
        <f>COUNTIF($J$2:J620,J620)</f>
        <v>1</v>
      </c>
    </row>
    <row r="621" spans="1:11">
      <c r="A621" s="47">
        <v>613</v>
      </c>
      <c r="B621" s="47">
        <v>96</v>
      </c>
      <c r="C621" s="47"/>
      <c r="D621" s="47"/>
      <c r="E621" s="49"/>
      <c r="F621" s="49"/>
      <c r="G621" s="49" t="s">
        <v>1410</v>
      </c>
      <c r="H621" s="47" t="s">
        <v>1411</v>
      </c>
      <c r="I621" s="43" t="str">
        <f t="shared" si="40"/>
        <v>自制设备</v>
      </c>
      <c r="J621" s="44" t="str">
        <f t="shared" si="41"/>
        <v>自制设备 打散机</v>
      </c>
      <c r="K621" s="43">
        <f>COUNTIF($J$2:J621,J621)</f>
        <v>1</v>
      </c>
    </row>
    <row r="622" spans="1:11">
      <c r="A622" s="47">
        <v>614</v>
      </c>
      <c r="B622" s="47">
        <v>97</v>
      </c>
      <c r="C622" s="47"/>
      <c r="D622" s="47"/>
      <c r="E622" s="49"/>
      <c r="F622" s="49"/>
      <c r="G622" s="49" t="s">
        <v>1412</v>
      </c>
      <c r="H622" s="47" t="s">
        <v>1413</v>
      </c>
      <c r="I622" s="43" t="str">
        <f t="shared" si="40"/>
        <v>自制设备</v>
      </c>
      <c r="J622" s="44" t="str">
        <f t="shared" si="41"/>
        <v>自制设备 圆筒分离筛</v>
      </c>
      <c r="K622" s="43">
        <f>COUNTIF($J$2:J622,J622)</f>
        <v>1</v>
      </c>
    </row>
    <row r="623" spans="1:11">
      <c r="A623" s="47">
        <v>615</v>
      </c>
      <c r="B623" s="47">
        <v>98</v>
      </c>
      <c r="C623" s="47"/>
      <c r="D623" s="47"/>
      <c r="E623" s="49"/>
      <c r="F623" s="49"/>
      <c r="G623" s="49" t="s">
        <v>1414</v>
      </c>
      <c r="H623" s="47" t="s">
        <v>1415</v>
      </c>
      <c r="I623" s="43" t="str">
        <f t="shared" si="40"/>
        <v>自制设备</v>
      </c>
      <c r="J623" s="44" t="str">
        <f t="shared" si="41"/>
        <v>自制设备 齿辊粉碎机</v>
      </c>
      <c r="K623" s="43">
        <f>COUNTIF($J$2:J623,J623)</f>
        <v>1</v>
      </c>
    </row>
    <row r="624" spans="1:11">
      <c r="A624" s="47">
        <v>616</v>
      </c>
      <c r="B624" s="47">
        <v>99</v>
      </c>
      <c r="C624" s="47"/>
      <c r="D624" s="47"/>
      <c r="E624" s="49"/>
      <c r="F624" s="49"/>
      <c r="G624" s="49" t="s">
        <v>1416</v>
      </c>
      <c r="H624" s="47" t="s">
        <v>1417</v>
      </c>
      <c r="I624" s="43" t="str">
        <f t="shared" si="40"/>
        <v>自制设备</v>
      </c>
      <c r="J624" s="44" t="str">
        <f t="shared" si="41"/>
        <v>自制设备 盘式破碎机</v>
      </c>
      <c r="K624" s="43">
        <f>COUNTIF($J$2:J624,J624)</f>
        <v>1</v>
      </c>
    </row>
    <row r="625" spans="1:11">
      <c r="A625" s="47">
        <v>617</v>
      </c>
      <c r="B625" s="47">
        <v>100</v>
      </c>
      <c r="C625" s="47"/>
      <c r="D625" s="47"/>
      <c r="E625" s="49"/>
      <c r="F625" s="49"/>
      <c r="G625" s="49" t="s">
        <v>339</v>
      </c>
      <c r="H625" s="47" t="s">
        <v>1418</v>
      </c>
      <c r="I625" s="43" t="str">
        <f t="shared" si="40"/>
        <v>自制设备</v>
      </c>
      <c r="J625" s="44" t="str">
        <f t="shared" si="41"/>
        <v>自制设备 篮式过滤器</v>
      </c>
      <c r="K625" s="43">
        <f>COUNTIF($J$2:J625,J625)</f>
        <v>1</v>
      </c>
    </row>
    <row r="626" spans="1:11">
      <c r="A626" s="47">
        <v>618</v>
      </c>
      <c r="B626" s="47">
        <v>101</v>
      </c>
      <c r="C626" s="47"/>
      <c r="D626" s="47"/>
      <c r="E626" s="49"/>
      <c r="F626" s="49"/>
      <c r="G626" s="49" t="s">
        <v>1419</v>
      </c>
      <c r="H626" s="47" t="s">
        <v>1420</v>
      </c>
      <c r="I626" s="43" t="str">
        <f t="shared" si="40"/>
        <v>自制设备</v>
      </c>
      <c r="J626" s="44" t="str">
        <f t="shared" si="41"/>
        <v>自制设备 旋转过滤器</v>
      </c>
      <c r="K626" s="43">
        <f>COUNTIF($J$2:J626,J626)</f>
        <v>1</v>
      </c>
    </row>
    <row r="627" spans="1:11">
      <c r="A627" s="47">
        <v>619</v>
      </c>
      <c r="B627" s="47">
        <v>102</v>
      </c>
      <c r="C627" s="47"/>
      <c r="D627" s="47"/>
      <c r="E627" s="49"/>
      <c r="F627" s="49"/>
      <c r="G627" s="49" t="s">
        <v>1421</v>
      </c>
      <c r="H627" s="47" t="s">
        <v>1422</v>
      </c>
      <c r="I627" s="43" t="str">
        <f t="shared" si="40"/>
        <v>自制设备</v>
      </c>
      <c r="J627" s="44" t="str">
        <f t="shared" si="41"/>
        <v>自制设备 螺旋输送挤干机</v>
      </c>
      <c r="K627" s="43">
        <f>COUNTIF($J$2:J627,J627)</f>
        <v>1</v>
      </c>
    </row>
    <row r="628" spans="1:11">
      <c r="A628" s="47">
        <v>620</v>
      </c>
      <c r="B628" s="47">
        <v>103</v>
      </c>
      <c r="C628" s="47"/>
      <c r="D628" s="47"/>
      <c r="E628" s="49"/>
      <c r="F628" s="49"/>
      <c r="G628" s="49" t="s">
        <v>1423</v>
      </c>
      <c r="H628" s="47" t="s">
        <v>1424</v>
      </c>
      <c r="I628" s="43" t="str">
        <f t="shared" si="40"/>
        <v>自制设备</v>
      </c>
      <c r="J628" s="44" t="str">
        <f t="shared" si="41"/>
        <v>自制设备 螺旋挤干机</v>
      </c>
      <c r="K628" s="43">
        <f>COUNTIF($J$2:J628,J628)</f>
        <v>1</v>
      </c>
    </row>
    <row r="629" spans="1:11">
      <c r="A629" s="47">
        <v>621</v>
      </c>
      <c r="B629" s="47">
        <v>104</v>
      </c>
      <c r="C629" s="47"/>
      <c r="D629" s="47"/>
      <c r="E629" s="49"/>
      <c r="F629" s="49"/>
      <c r="G629" s="49" t="s">
        <v>1425</v>
      </c>
      <c r="H629" s="47" t="s">
        <v>1426</v>
      </c>
      <c r="I629" s="43" t="str">
        <f t="shared" si="40"/>
        <v>自制设备</v>
      </c>
      <c r="J629" s="44" t="str">
        <f t="shared" si="41"/>
        <v>自制设备 液压挤干机</v>
      </c>
      <c r="K629" s="43">
        <f>COUNTIF($J$2:J629,J629)</f>
        <v>1</v>
      </c>
    </row>
    <row r="630" spans="1:11">
      <c r="A630" s="47">
        <v>622</v>
      </c>
      <c r="B630" s="47">
        <v>105</v>
      </c>
      <c r="C630" s="47"/>
      <c r="D630" s="47"/>
      <c r="E630" s="49"/>
      <c r="F630" s="49"/>
      <c r="G630" s="49" t="s">
        <v>1427</v>
      </c>
      <c r="H630" s="47" t="s">
        <v>1428</v>
      </c>
      <c r="I630" s="43" t="str">
        <f t="shared" si="40"/>
        <v>自制设备</v>
      </c>
      <c r="J630" s="44" t="str">
        <f t="shared" si="41"/>
        <v>自制设备 立式离心筛</v>
      </c>
      <c r="K630" s="43">
        <f>COUNTIF($J$2:J630,J630)</f>
        <v>1</v>
      </c>
    </row>
    <row r="631" spans="1:11">
      <c r="A631" s="47">
        <v>623</v>
      </c>
      <c r="B631" s="47">
        <v>106</v>
      </c>
      <c r="C631" s="47"/>
      <c r="D631" s="47"/>
      <c r="E631" s="49"/>
      <c r="F631" s="49"/>
      <c r="G631" s="49" t="s">
        <v>347</v>
      </c>
      <c r="H631" s="47" t="s">
        <v>1429</v>
      </c>
      <c r="I631" s="43" t="str">
        <f t="shared" si="40"/>
        <v>自制设备</v>
      </c>
      <c r="J631" s="44" t="str">
        <f t="shared" si="41"/>
        <v>自制设备 碟片离心机</v>
      </c>
      <c r="K631" s="43">
        <f>COUNTIF($J$2:J631,J631)</f>
        <v>1</v>
      </c>
    </row>
    <row r="632" spans="1:11">
      <c r="A632" s="47">
        <v>624</v>
      </c>
      <c r="B632" s="47">
        <v>107</v>
      </c>
      <c r="C632" s="47"/>
      <c r="D632" s="47"/>
      <c r="E632" s="49"/>
      <c r="F632" s="49"/>
      <c r="G632" s="49" t="s">
        <v>277</v>
      </c>
      <c r="H632" s="47" t="s">
        <v>1430</v>
      </c>
      <c r="I632" s="43" t="str">
        <f t="shared" si="40"/>
        <v>自制设备</v>
      </c>
      <c r="J632" s="44" t="str">
        <f t="shared" si="41"/>
        <v>自制设备 卧螺离心机</v>
      </c>
      <c r="K632" s="43">
        <f>COUNTIF($J$2:J632,J632)</f>
        <v>1</v>
      </c>
    </row>
    <row r="633" spans="1:11">
      <c r="A633" s="47">
        <v>625</v>
      </c>
      <c r="B633" s="47">
        <v>108</v>
      </c>
      <c r="C633" s="47"/>
      <c r="D633" s="47"/>
      <c r="E633" s="49"/>
      <c r="F633" s="49"/>
      <c r="G633" s="49" t="s">
        <v>1431</v>
      </c>
      <c r="H633" s="47" t="s">
        <v>1432</v>
      </c>
      <c r="I633" s="43" t="str">
        <f t="shared" si="40"/>
        <v>自制设备</v>
      </c>
      <c r="J633" s="44" t="str">
        <f t="shared" si="41"/>
        <v>自制设备 对辊破碎机</v>
      </c>
      <c r="K633" s="43">
        <f>COUNTIF($J$2:J633,J633)</f>
        <v>1</v>
      </c>
    </row>
    <row r="634" spans="1:11">
      <c r="A634" s="47">
        <v>626</v>
      </c>
      <c r="B634" s="47">
        <v>109</v>
      </c>
      <c r="C634" s="47"/>
      <c r="D634" s="47"/>
      <c r="E634" s="49"/>
      <c r="F634" s="49"/>
      <c r="G634" s="49" t="s">
        <v>1433</v>
      </c>
      <c r="H634" s="47" t="s">
        <v>1434</v>
      </c>
      <c r="I634" s="43" t="str">
        <f t="shared" si="40"/>
        <v>自制设备</v>
      </c>
      <c r="J634" s="44" t="str">
        <f t="shared" si="41"/>
        <v>自制设备 缓冲斗</v>
      </c>
      <c r="K634" s="43">
        <f>COUNTIF($J$2:J634,J634)</f>
        <v>1</v>
      </c>
    </row>
    <row r="635" spans="1:11">
      <c r="A635" s="47">
        <v>627</v>
      </c>
      <c r="B635" s="47">
        <v>110</v>
      </c>
      <c r="C635" s="47"/>
      <c r="D635" s="47"/>
      <c r="E635" s="49"/>
      <c r="F635" s="49"/>
      <c r="G635" s="49" t="s">
        <v>1435</v>
      </c>
      <c r="H635" s="47" t="s">
        <v>1436</v>
      </c>
      <c r="I635" s="43" t="str">
        <f t="shared" si="40"/>
        <v>自制设备</v>
      </c>
      <c r="J635" s="44" t="str">
        <f t="shared" si="41"/>
        <v>自制设备 布袋过滤器</v>
      </c>
      <c r="K635" s="43">
        <f>COUNTIF($J$2:J635,J635)</f>
        <v>1</v>
      </c>
    </row>
    <row r="636" spans="1:11">
      <c r="A636" s="47">
        <v>628</v>
      </c>
      <c r="B636" s="47">
        <v>111</v>
      </c>
      <c r="C636" s="47"/>
      <c r="D636" s="47"/>
      <c r="E636" s="49"/>
      <c r="F636" s="49"/>
      <c r="G636" s="49" t="s">
        <v>1437</v>
      </c>
      <c r="H636" s="47" t="s">
        <v>1438</v>
      </c>
      <c r="I636" s="43" t="str">
        <f t="shared" si="40"/>
        <v>自制设备</v>
      </c>
      <c r="J636" s="44" t="str">
        <f t="shared" si="41"/>
        <v>自制设备 投饵机</v>
      </c>
      <c r="K636" s="43">
        <f>COUNTIF($J$2:J636,J636)</f>
        <v>1</v>
      </c>
    </row>
    <row r="637" spans="1:11">
      <c r="A637" s="47">
        <v>629</v>
      </c>
      <c r="B637" s="47">
        <v>112</v>
      </c>
      <c r="C637" s="47"/>
      <c r="D637" s="47"/>
      <c r="E637" s="49"/>
      <c r="F637" s="49"/>
      <c r="G637" s="49" t="s">
        <v>255</v>
      </c>
      <c r="H637" s="47" t="s">
        <v>1439</v>
      </c>
      <c r="I637" s="43" t="str">
        <f t="shared" si="40"/>
        <v>自制设备</v>
      </c>
      <c r="J637" s="44" t="str">
        <f t="shared" si="41"/>
        <v>自制设备 脱胚磨</v>
      </c>
      <c r="K637" s="43">
        <f>COUNTIF($J$2:J637,J637)</f>
        <v>1</v>
      </c>
    </row>
    <row r="638" spans="1:11">
      <c r="A638" s="47">
        <v>630</v>
      </c>
      <c r="B638" s="47">
        <v>113</v>
      </c>
      <c r="C638" s="47"/>
      <c r="D638" s="47"/>
      <c r="E638" s="49"/>
      <c r="F638" s="49"/>
      <c r="G638" s="49" t="s">
        <v>1440</v>
      </c>
      <c r="H638" s="47" t="s">
        <v>1441</v>
      </c>
      <c r="I638" s="43" t="str">
        <f t="shared" si="40"/>
        <v>自制设备</v>
      </c>
      <c r="J638" s="44" t="str">
        <f t="shared" si="41"/>
        <v>自制设备 油料轧胚机</v>
      </c>
      <c r="K638" s="43">
        <f>COUNTIF($J$2:J638,J638)</f>
        <v>1</v>
      </c>
    </row>
    <row r="639" spans="1:11">
      <c r="A639" s="47">
        <v>631</v>
      </c>
      <c r="B639" s="47">
        <v>114</v>
      </c>
      <c r="C639" s="47"/>
      <c r="D639" s="47"/>
      <c r="E639" s="49"/>
      <c r="F639" s="49"/>
      <c r="G639" s="49" t="s">
        <v>1442</v>
      </c>
      <c r="H639" s="47" t="s">
        <v>1443</v>
      </c>
      <c r="I639" s="43" t="str">
        <f t="shared" si="40"/>
        <v>自制设备</v>
      </c>
      <c r="J639" s="44" t="str">
        <f t="shared" si="41"/>
        <v>自制设备 棕榈榨机</v>
      </c>
      <c r="K639" s="43">
        <f>COUNTIF($J$2:J639,J639)</f>
        <v>1</v>
      </c>
    </row>
    <row r="640" spans="1:11">
      <c r="A640" s="47">
        <v>632</v>
      </c>
      <c r="B640" s="47">
        <v>115</v>
      </c>
      <c r="C640" s="47"/>
      <c r="D640" s="47"/>
      <c r="E640" s="49"/>
      <c r="F640" s="49"/>
      <c r="G640" s="49" t="s">
        <v>1444</v>
      </c>
      <c r="H640" s="47" t="s">
        <v>1445</v>
      </c>
      <c r="I640" s="43" t="str">
        <f t="shared" si="40"/>
        <v>自制设备</v>
      </c>
      <c r="J640" s="44" t="str">
        <f t="shared" si="41"/>
        <v>自制设备 螺旋压榨机</v>
      </c>
      <c r="K640" s="43">
        <f>COUNTIF($J$2:J640,J640)</f>
        <v>1</v>
      </c>
    </row>
    <row r="641" spans="1:11">
      <c r="A641" s="47">
        <v>633</v>
      </c>
      <c r="B641" s="47">
        <v>116</v>
      </c>
      <c r="C641" s="47"/>
      <c r="D641" s="47"/>
      <c r="E641" s="49"/>
      <c r="F641" s="49"/>
      <c r="G641" s="49" t="s">
        <v>1446</v>
      </c>
      <c r="H641" s="47" t="s">
        <v>1447</v>
      </c>
      <c r="I641" s="43" t="str">
        <f t="shared" si="40"/>
        <v>自制设备</v>
      </c>
      <c r="J641" s="44" t="str">
        <f t="shared" si="41"/>
        <v>自制设备 缓存罐</v>
      </c>
      <c r="K641" s="43">
        <f>COUNTIF($J$2:J641,J641)</f>
        <v>1</v>
      </c>
    </row>
    <row r="642" spans="1:11">
      <c r="A642" s="47">
        <v>634</v>
      </c>
      <c r="B642" s="47">
        <v>117</v>
      </c>
      <c r="C642" s="47"/>
      <c r="D642" s="47"/>
      <c r="E642" s="49"/>
      <c r="F642" s="49"/>
      <c r="G642" s="49" t="s">
        <v>1448</v>
      </c>
      <c r="H642" s="47" t="s">
        <v>1449</v>
      </c>
      <c r="I642" s="43" t="str">
        <f t="shared" si="40"/>
        <v>自制设备</v>
      </c>
      <c r="J642" s="44" t="str">
        <f t="shared" si="41"/>
        <v>自制设备 筛选磨边机</v>
      </c>
      <c r="K642" s="43">
        <f>COUNTIF($J$2:J642,J642)</f>
        <v>1</v>
      </c>
    </row>
    <row r="643" spans="1:11">
      <c r="A643" s="47">
        <v>635</v>
      </c>
      <c r="B643" s="47">
        <v>118</v>
      </c>
      <c r="C643" s="47"/>
      <c r="D643" s="47"/>
      <c r="E643" s="49"/>
      <c r="F643" s="49"/>
      <c r="G643" s="49" t="s">
        <v>1450</v>
      </c>
      <c r="H643" s="47" t="s">
        <v>1451</v>
      </c>
      <c r="I643" s="43" t="str">
        <f t="shared" si="40"/>
        <v>自制设备</v>
      </c>
      <c r="J643" s="44" t="str">
        <f t="shared" si="41"/>
        <v>自制设备 融化罐</v>
      </c>
      <c r="K643" s="43">
        <f>COUNTIF($J$2:J643,J643)</f>
        <v>1</v>
      </c>
    </row>
    <row r="644" spans="1:11">
      <c r="A644" s="47">
        <v>636</v>
      </c>
      <c r="B644" s="47">
        <v>119</v>
      </c>
      <c r="C644" s="47"/>
      <c r="D644" s="47"/>
      <c r="E644" s="49"/>
      <c r="F644" s="49"/>
      <c r="G644" s="49" t="s">
        <v>1452</v>
      </c>
      <c r="H644" s="47" t="s">
        <v>1453</v>
      </c>
      <c r="I644" s="43" t="str">
        <f t="shared" si="40"/>
        <v>自制设备</v>
      </c>
      <c r="J644" s="44" t="str">
        <f t="shared" si="41"/>
        <v>自制设备 涂层机</v>
      </c>
      <c r="K644" s="43">
        <f>COUNTIF($J$2:J644,J644)</f>
        <v>1</v>
      </c>
    </row>
    <row r="645" spans="1:11">
      <c r="A645" s="47">
        <v>637</v>
      </c>
      <c r="B645" s="47">
        <v>120</v>
      </c>
      <c r="C645" s="47"/>
      <c r="D645" s="47"/>
      <c r="E645" s="49"/>
      <c r="F645" s="49"/>
      <c r="G645" s="49" t="s">
        <v>1454</v>
      </c>
      <c r="H645" s="47" t="s">
        <v>1455</v>
      </c>
      <c r="I645" s="43" t="str">
        <f t="shared" si="40"/>
        <v>自制设备</v>
      </c>
      <c r="J645" s="44" t="str">
        <f t="shared" si="41"/>
        <v>自制设备 一涂罐</v>
      </c>
      <c r="K645" s="43">
        <f>COUNTIF($J$2:J645,J645)</f>
        <v>1</v>
      </c>
    </row>
    <row r="646" spans="1:11">
      <c r="A646" s="47">
        <v>638</v>
      </c>
      <c r="B646" s="47">
        <v>121</v>
      </c>
      <c r="C646" s="47"/>
      <c r="D646" s="47"/>
      <c r="E646" s="49"/>
      <c r="F646" s="49"/>
      <c r="G646" s="49" t="s">
        <v>1456</v>
      </c>
      <c r="H646" s="47" t="s">
        <v>1457</v>
      </c>
      <c r="I646" s="43" t="str">
        <f t="shared" si="40"/>
        <v>自制设备</v>
      </c>
      <c r="J646" s="44" t="str">
        <f t="shared" si="41"/>
        <v>自制设备 暂存罐</v>
      </c>
      <c r="K646" s="43">
        <f>COUNTIF($J$2:J646,J646)</f>
        <v>1</v>
      </c>
    </row>
    <row r="647" spans="1:11">
      <c r="A647" s="47">
        <v>639</v>
      </c>
      <c r="B647" s="47">
        <v>122</v>
      </c>
      <c r="C647" s="47"/>
      <c r="D647" s="47"/>
      <c r="E647" s="49"/>
      <c r="F647" s="49"/>
      <c r="G647" s="49" t="s">
        <v>1458</v>
      </c>
      <c r="H647" s="47" t="s">
        <v>1459</v>
      </c>
      <c r="I647" s="43" t="str">
        <f t="shared" si="40"/>
        <v>自制设备</v>
      </c>
      <c r="J647" s="44" t="str">
        <f t="shared" si="41"/>
        <v>自制设备 离交柱</v>
      </c>
      <c r="K647" s="43">
        <f>COUNTIF($J$2:J647,J647)</f>
        <v>1</v>
      </c>
    </row>
    <row r="648" spans="1:11">
      <c r="A648" s="47">
        <v>640</v>
      </c>
      <c r="B648" s="47">
        <v>123</v>
      </c>
      <c r="C648" s="47"/>
      <c r="D648" s="47"/>
      <c r="E648" s="49"/>
      <c r="F648" s="49"/>
      <c r="G648" s="49" t="s">
        <v>1460</v>
      </c>
      <c r="H648" s="47" t="s">
        <v>1461</v>
      </c>
      <c r="I648" s="43" t="str">
        <f t="shared" si="40"/>
        <v>自制设备</v>
      </c>
      <c r="J648" s="44" t="str">
        <f t="shared" si="41"/>
        <v>自制设备 色谱柱</v>
      </c>
      <c r="K648" s="43">
        <f>COUNTIF($J$2:J648,J648)</f>
        <v>1</v>
      </c>
    </row>
    <row r="649" spans="1:11">
      <c r="A649" s="47">
        <v>641</v>
      </c>
      <c r="B649" s="47">
        <v>124</v>
      </c>
      <c r="C649" s="47"/>
      <c r="D649" s="47"/>
      <c r="E649" s="49"/>
      <c r="F649" s="49"/>
      <c r="G649" s="49" t="s">
        <v>1462</v>
      </c>
      <c r="H649" s="47" t="s">
        <v>1463</v>
      </c>
      <c r="I649" s="43" t="str">
        <f t="shared" si="40"/>
        <v>自制设备</v>
      </c>
      <c r="J649" s="44" t="str">
        <f t="shared" si="41"/>
        <v>自制设备 维持管</v>
      </c>
      <c r="K649" s="43">
        <f>COUNTIF($J$2:J649,J649)</f>
        <v>1</v>
      </c>
    </row>
    <row r="650" spans="1:11">
      <c r="A650" s="47">
        <v>642</v>
      </c>
      <c r="B650" s="47">
        <v>125</v>
      </c>
      <c r="C650" s="47"/>
      <c r="D650" s="47"/>
      <c r="E650" s="49"/>
      <c r="F650" s="49"/>
      <c r="G650" s="49" t="s">
        <v>1464</v>
      </c>
      <c r="H650" s="47" t="s">
        <v>1465</v>
      </c>
      <c r="I650" s="43" t="str">
        <f t="shared" si="40"/>
        <v>自制设备</v>
      </c>
      <c r="J650" s="44" t="str">
        <f t="shared" si="41"/>
        <v>自制设备 异构柱</v>
      </c>
      <c r="K650" s="43">
        <f>COUNTIF($J$2:J650,J650)</f>
        <v>1</v>
      </c>
    </row>
    <row r="651" spans="1:11">
      <c r="A651" s="47">
        <v>643</v>
      </c>
      <c r="B651" s="47">
        <v>126</v>
      </c>
      <c r="C651" s="47"/>
      <c r="D651" s="47"/>
      <c r="E651" s="49"/>
      <c r="F651" s="49"/>
      <c r="G651" s="49" t="s">
        <v>1466</v>
      </c>
      <c r="H651" s="47" t="s">
        <v>1467</v>
      </c>
      <c r="I651" s="43" t="str">
        <f t="shared" si="40"/>
        <v>自制设备</v>
      </c>
      <c r="J651" s="44" t="str">
        <f t="shared" si="41"/>
        <v>自制设备 滚筒磁选机</v>
      </c>
      <c r="K651" s="43">
        <f>COUNTIF($J$2:J651,J651)</f>
        <v>1</v>
      </c>
    </row>
    <row r="652" spans="1:11">
      <c r="A652" s="47">
        <v>644</v>
      </c>
      <c r="B652" s="47">
        <v>127</v>
      </c>
      <c r="C652" s="47"/>
      <c r="D652" s="47"/>
      <c r="E652" s="49"/>
      <c r="F652" s="49"/>
      <c r="G652" s="49" t="s">
        <v>1468</v>
      </c>
      <c r="H652" s="47" t="s">
        <v>1469</v>
      </c>
      <c r="I652" s="43" t="str">
        <f t="shared" si="40"/>
        <v>自制设备</v>
      </c>
      <c r="J652" s="44" t="str">
        <f t="shared" si="41"/>
        <v>自制设备 板式磁选器</v>
      </c>
      <c r="K652" s="43">
        <f>COUNTIF($J$2:J652,J652)</f>
        <v>1</v>
      </c>
    </row>
    <row r="653" spans="1:11">
      <c r="A653" s="47">
        <v>645</v>
      </c>
      <c r="B653" s="47">
        <v>128</v>
      </c>
      <c r="C653" s="47"/>
      <c r="D653" s="47"/>
      <c r="E653" s="49"/>
      <c r="F653" s="49"/>
      <c r="G653" s="49" t="s">
        <v>1470</v>
      </c>
      <c r="H653" s="47" t="s">
        <v>1471</v>
      </c>
      <c r="I653" s="43" t="str">
        <f t="shared" si="40"/>
        <v>自制设备</v>
      </c>
      <c r="J653" s="44" t="str">
        <f t="shared" si="41"/>
        <v>自制设备 链式皮带机</v>
      </c>
      <c r="K653" s="43">
        <f>COUNTIF($J$2:J653,J653)</f>
        <v>1</v>
      </c>
    </row>
    <row r="654" spans="1:11">
      <c r="A654" s="47">
        <v>646</v>
      </c>
      <c r="B654" s="47">
        <v>129</v>
      </c>
      <c r="C654" s="47"/>
      <c r="D654" s="47"/>
      <c r="E654" s="49"/>
      <c r="F654" s="49"/>
      <c r="G654" s="49" t="s">
        <v>1472</v>
      </c>
      <c r="H654" s="47" t="s">
        <v>1473</v>
      </c>
      <c r="I654" s="43" t="str">
        <f t="shared" si="40"/>
        <v>自制设备</v>
      </c>
      <c r="J654" s="44" t="str">
        <f t="shared" si="41"/>
        <v>自制设备 斗式提升机</v>
      </c>
      <c r="K654" s="43">
        <f>COUNTIF($J$2:J654,J654)</f>
        <v>1</v>
      </c>
    </row>
    <row r="655" spans="1:11">
      <c r="A655" s="47">
        <v>647</v>
      </c>
      <c r="B655" s="47">
        <v>130</v>
      </c>
      <c r="C655" s="47"/>
      <c r="D655" s="47"/>
      <c r="E655" s="49"/>
      <c r="F655" s="49"/>
      <c r="G655" s="49" t="s">
        <v>1474</v>
      </c>
      <c r="H655" s="47" t="s">
        <v>1475</v>
      </c>
      <c r="I655" s="43" t="str">
        <f t="shared" si="40"/>
        <v>自制设备</v>
      </c>
      <c r="J655" s="44" t="str">
        <f t="shared" si="41"/>
        <v>自制设备 气动风阀</v>
      </c>
      <c r="K655" s="43">
        <f>COUNTIF($J$2:J655,J655)</f>
        <v>1</v>
      </c>
    </row>
    <row r="656" spans="1:11">
      <c r="A656" s="47">
        <v>648</v>
      </c>
      <c r="B656" s="47">
        <v>131</v>
      </c>
      <c r="C656" s="47"/>
      <c r="D656" s="47"/>
      <c r="E656" s="49"/>
      <c r="F656" s="49"/>
      <c r="G656" s="49" t="s">
        <v>1476</v>
      </c>
      <c r="H656" s="47" t="s">
        <v>1477</v>
      </c>
      <c r="I656" s="43" t="str">
        <f t="shared" si="40"/>
        <v>自制设备</v>
      </c>
      <c r="J656" s="44" t="str">
        <f t="shared" si="41"/>
        <v>自制设备 气动风门</v>
      </c>
      <c r="K656" s="43">
        <f>COUNTIF($J$2:J656,J656)</f>
        <v>1</v>
      </c>
    </row>
    <row r="657" spans="1:11">
      <c r="A657" s="47">
        <v>649</v>
      </c>
      <c r="B657" s="47">
        <v>132</v>
      </c>
      <c r="C657" s="47"/>
      <c r="D657" s="47"/>
      <c r="E657" s="49"/>
      <c r="F657" s="49"/>
      <c r="G657" s="49" t="s">
        <v>1478</v>
      </c>
      <c r="H657" s="47" t="s">
        <v>1479</v>
      </c>
      <c r="I657" s="43" t="str">
        <f t="shared" si="40"/>
        <v>自制设备</v>
      </c>
      <c r="J657" s="44" t="str">
        <f t="shared" si="41"/>
        <v>自制设备 手动风门</v>
      </c>
      <c r="K657" s="43">
        <f>COUNTIF($J$2:J657,J657)</f>
        <v>1</v>
      </c>
    </row>
    <row r="658" spans="1:11">
      <c r="A658" s="47">
        <v>650</v>
      </c>
      <c r="B658" s="47">
        <v>133</v>
      </c>
      <c r="C658" s="47"/>
      <c r="D658" s="47"/>
      <c r="E658" s="49"/>
      <c r="F658" s="49"/>
      <c r="G658" s="49" t="s">
        <v>1480</v>
      </c>
      <c r="H658" s="47" t="s">
        <v>1481</v>
      </c>
      <c r="I658" s="43" t="str">
        <f t="shared" si="40"/>
        <v>自制设备</v>
      </c>
      <c r="J658" s="44" t="str">
        <f t="shared" si="41"/>
        <v>自制设备 粉末收集室</v>
      </c>
      <c r="K658" s="43">
        <f>COUNTIF($J$2:J658,J658)</f>
        <v>1</v>
      </c>
    </row>
    <row r="659" spans="1:11">
      <c r="A659" s="47">
        <v>651</v>
      </c>
      <c r="B659" s="47">
        <v>134</v>
      </c>
      <c r="C659" s="47"/>
      <c r="D659" s="47"/>
      <c r="E659" s="49"/>
      <c r="F659" s="49"/>
      <c r="G659" s="49" t="s">
        <v>1482</v>
      </c>
      <c r="H659" s="47" t="s">
        <v>1483</v>
      </c>
      <c r="I659" s="43" t="str">
        <f t="shared" si="40"/>
        <v>自制设备</v>
      </c>
      <c r="J659" s="44" t="str">
        <f t="shared" si="41"/>
        <v>自制设备 叶轮关风器</v>
      </c>
      <c r="K659" s="43">
        <f>COUNTIF($J$2:J659,J659)</f>
        <v>1</v>
      </c>
    </row>
    <row r="660" spans="1:11">
      <c r="A660" s="47">
        <v>652</v>
      </c>
      <c r="B660" s="47">
        <v>135</v>
      </c>
      <c r="C660" s="47"/>
      <c r="D660" s="47"/>
      <c r="E660" s="49"/>
      <c r="F660" s="49"/>
      <c r="G660" s="49" t="s">
        <v>1484</v>
      </c>
      <c r="H660" s="47" t="s">
        <v>1485</v>
      </c>
      <c r="I660" s="43" t="str">
        <f t="shared" si="40"/>
        <v>自制设备</v>
      </c>
      <c r="J660" s="44" t="str">
        <f t="shared" si="41"/>
        <v>自制设备 管束进料绞龙</v>
      </c>
      <c r="K660" s="43">
        <f>COUNTIF($J$2:J660,J660)</f>
        <v>1</v>
      </c>
    </row>
    <row r="661" spans="1:11">
      <c r="A661" s="47">
        <v>653</v>
      </c>
      <c r="B661" s="47">
        <v>136</v>
      </c>
      <c r="C661" s="47"/>
      <c r="D661" s="47"/>
      <c r="E661" s="49"/>
      <c r="F661" s="49"/>
      <c r="G661" s="49" t="s">
        <v>1486</v>
      </c>
      <c r="H661" s="47" t="s">
        <v>1487</v>
      </c>
      <c r="I661" s="43" t="str">
        <f t="shared" si="40"/>
        <v>自制设备</v>
      </c>
      <c r="J661" s="44" t="str">
        <f t="shared" si="41"/>
        <v>自制设备 滚筒冷却机</v>
      </c>
      <c r="K661" s="43">
        <f>COUNTIF($J$2:J661,J661)</f>
        <v>1</v>
      </c>
    </row>
    <row r="662" spans="1:11">
      <c r="A662" s="47">
        <v>654</v>
      </c>
      <c r="B662" s="47">
        <v>137</v>
      </c>
      <c r="C662" s="47"/>
      <c r="D662" s="47"/>
      <c r="E662" s="49"/>
      <c r="F662" s="49"/>
      <c r="G662" s="49" t="s">
        <v>1488</v>
      </c>
      <c r="H662" s="47" t="s">
        <v>1489</v>
      </c>
      <c r="I662" s="43" t="str">
        <f t="shared" si="40"/>
        <v>自制设备</v>
      </c>
      <c r="J662" s="44" t="str">
        <f t="shared" si="41"/>
        <v>自制设备 过滤器</v>
      </c>
      <c r="K662" s="43">
        <f>COUNTIF($J$2:J662,J662)</f>
        <v>1</v>
      </c>
    </row>
    <row r="663" spans="1:11">
      <c r="A663" s="47">
        <v>655</v>
      </c>
      <c r="B663" s="47">
        <v>138</v>
      </c>
      <c r="C663" s="47"/>
      <c r="D663" s="47"/>
      <c r="E663" s="49"/>
      <c r="F663" s="49"/>
      <c r="G663" s="49" t="s">
        <v>1490</v>
      </c>
      <c r="H663" s="47" t="s">
        <v>1491</v>
      </c>
      <c r="I663" s="43" t="str">
        <f t="shared" si="40"/>
        <v>自制设备</v>
      </c>
      <c r="J663" s="44" t="str">
        <f t="shared" si="41"/>
        <v>自制设备 管束干燥机</v>
      </c>
      <c r="K663" s="43">
        <f>COUNTIF($J$2:J663,J663)</f>
        <v>1</v>
      </c>
    </row>
    <row r="664" spans="1:11">
      <c r="A664" s="47">
        <v>656</v>
      </c>
      <c r="B664" s="47">
        <v>139</v>
      </c>
      <c r="C664" s="47"/>
      <c r="D664" s="47"/>
      <c r="E664" s="49"/>
      <c r="F664" s="49"/>
      <c r="G664" s="49" t="s">
        <v>1492</v>
      </c>
      <c r="H664" s="47" t="s">
        <v>1493</v>
      </c>
      <c r="I664" s="43" t="str">
        <f t="shared" si="40"/>
        <v>自制设备</v>
      </c>
      <c r="J664" s="44" t="str">
        <f t="shared" si="41"/>
        <v>自制设备 活态烘干塔</v>
      </c>
      <c r="K664" s="43">
        <f>COUNTIF($J$2:J664,J664)</f>
        <v>1</v>
      </c>
    </row>
    <row r="665" spans="1:11">
      <c r="A665" s="47">
        <v>657</v>
      </c>
      <c r="B665" s="47">
        <v>140</v>
      </c>
      <c r="C665" s="47"/>
      <c r="D665" s="47"/>
      <c r="E665" s="49"/>
      <c r="F665" s="49"/>
      <c r="G665" s="49" t="s">
        <v>1494</v>
      </c>
      <c r="H665" s="47" t="s">
        <v>1495</v>
      </c>
      <c r="I665" s="43" t="str">
        <f t="shared" si="40"/>
        <v>自制设备</v>
      </c>
      <c r="J665" s="44" t="str">
        <f t="shared" si="41"/>
        <v>自制设备 气流干燥</v>
      </c>
      <c r="K665" s="43">
        <f>COUNTIF($J$2:J665,J665)</f>
        <v>1</v>
      </c>
    </row>
    <row r="666" spans="1:11">
      <c r="A666" s="47">
        <v>658</v>
      </c>
      <c r="B666" s="47">
        <v>141</v>
      </c>
      <c r="C666" s="47"/>
      <c r="D666" s="47"/>
      <c r="E666" s="49"/>
      <c r="F666" s="49"/>
      <c r="G666" s="49" t="s">
        <v>1496</v>
      </c>
      <c r="H666" s="47" t="s">
        <v>1497</v>
      </c>
      <c r="I666" s="43" t="str">
        <f t="shared" ref="I666:I729" si="42">IF(COUNTA(C666)=1,C666,I665)</f>
        <v>自制设备</v>
      </c>
      <c r="J666" s="44" t="str">
        <f t="shared" ref="J666:J729" si="43">CONCATENATE(I666," ",G666)</f>
        <v>自制设备 桨叶混合机</v>
      </c>
      <c r="K666" s="43">
        <f>COUNTIF($J$2:J666,J666)</f>
        <v>1</v>
      </c>
    </row>
    <row r="667" spans="1:11">
      <c r="A667" s="47">
        <v>659</v>
      </c>
      <c r="B667" s="47">
        <v>142</v>
      </c>
      <c r="C667" s="47"/>
      <c r="D667" s="47"/>
      <c r="E667" s="49"/>
      <c r="F667" s="49"/>
      <c r="G667" s="49" t="s">
        <v>1498</v>
      </c>
      <c r="H667" s="47" t="s">
        <v>1499</v>
      </c>
      <c r="I667" s="43" t="str">
        <f t="shared" si="42"/>
        <v>自制设备</v>
      </c>
      <c r="J667" s="44" t="str">
        <f t="shared" si="43"/>
        <v>自制设备 皮粕混合机</v>
      </c>
      <c r="K667" s="43">
        <f>COUNTIF($J$2:J667,J667)</f>
        <v>1</v>
      </c>
    </row>
    <row r="668" spans="1:11">
      <c r="A668" s="47">
        <v>660</v>
      </c>
      <c r="B668" s="47">
        <v>143</v>
      </c>
      <c r="C668" s="47"/>
      <c r="D668" s="47"/>
      <c r="E668" s="49"/>
      <c r="F668" s="49"/>
      <c r="G668" s="49" t="s">
        <v>1500</v>
      </c>
      <c r="H668" s="47" t="s">
        <v>1501</v>
      </c>
      <c r="I668" s="43" t="str">
        <f t="shared" si="42"/>
        <v>自制设备</v>
      </c>
      <c r="J668" s="44" t="str">
        <f t="shared" si="43"/>
        <v>自制设备 连续混合机</v>
      </c>
      <c r="K668" s="43">
        <f>COUNTIF($J$2:J668,J668)</f>
        <v>1</v>
      </c>
    </row>
    <row r="669" spans="1:11">
      <c r="A669" s="47">
        <v>661</v>
      </c>
      <c r="B669" s="47">
        <v>144</v>
      </c>
      <c r="C669" s="47"/>
      <c r="D669" s="47"/>
      <c r="E669" s="49"/>
      <c r="F669" s="49"/>
      <c r="G669" s="49" t="s">
        <v>1502</v>
      </c>
      <c r="H669" s="47" t="s">
        <v>1503</v>
      </c>
      <c r="I669" s="43" t="str">
        <f t="shared" si="42"/>
        <v>自制设备</v>
      </c>
      <c r="J669" s="44" t="str">
        <f t="shared" si="43"/>
        <v>自制设备 美式刹克龙</v>
      </c>
      <c r="K669" s="43">
        <f>COUNTIF($J$2:J669,J669)</f>
        <v>1</v>
      </c>
    </row>
    <row r="670" spans="1:11">
      <c r="A670" s="47">
        <v>662</v>
      </c>
      <c r="B670" s="47">
        <v>145</v>
      </c>
      <c r="C670" s="47"/>
      <c r="D670" s="47"/>
      <c r="E670" s="49"/>
      <c r="F670" s="49"/>
      <c r="G670" s="49" t="s">
        <v>1504</v>
      </c>
      <c r="H670" s="47" t="s">
        <v>1505</v>
      </c>
      <c r="I670" s="43" t="str">
        <f t="shared" si="42"/>
        <v>自制设备</v>
      </c>
      <c r="J670" s="44" t="str">
        <f t="shared" si="43"/>
        <v>自制设备 透气帽</v>
      </c>
      <c r="K670" s="43">
        <f>COUNTIF($J$2:J670,J670)</f>
        <v>1</v>
      </c>
    </row>
    <row r="671" spans="1:11">
      <c r="A671" s="47">
        <v>663</v>
      </c>
      <c r="B671" s="47">
        <v>146</v>
      </c>
      <c r="C671" s="47"/>
      <c r="D671" s="47"/>
      <c r="E671" s="49"/>
      <c r="F671" s="49"/>
      <c r="G671" s="49" t="s">
        <v>1506</v>
      </c>
      <c r="H671" s="47" t="s">
        <v>1507</v>
      </c>
      <c r="I671" s="43" t="str">
        <f t="shared" si="42"/>
        <v>自制设备</v>
      </c>
      <c r="J671" s="44" t="str">
        <f t="shared" si="43"/>
        <v>自制设备 布筒滤尘器</v>
      </c>
      <c r="K671" s="43">
        <f>COUNTIF($J$2:J671,J671)</f>
        <v>1</v>
      </c>
    </row>
    <row r="672" spans="1:11">
      <c r="A672" s="47">
        <v>664</v>
      </c>
      <c r="B672" s="47">
        <v>147</v>
      </c>
      <c r="C672" s="47"/>
      <c r="D672" s="47"/>
      <c r="E672" s="49"/>
      <c r="F672" s="49"/>
      <c r="G672" s="49" t="s">
        <v>1508</v>
      </c>
      <c r="H672" s="47" t="s">
        <v>1509</v>
      </c>
      <c r="I672" s="43" t="str">
        <f t="shared" si="42"/>
        <v>自制设备</v>
      </c>
      <c r="J672" s="44" t="str">
        <f t="shared" si="43"/>
        <v>自制设备 外旋刹克龙</v>
      </c>
      <c r="K672" s="43">
        <f>COUNTIF($J$2:J672,J672)</f>
        <v>1</v>
      </c>
    </row>
    <row r="673" spans="1:11">
      <c r="A673" s="47">
        <v>665</v>
      </c>
      <c r="B673" s="47">
        <v>148</v>
      </c>
      <c r="C673" s="47"/>
      <c r="D673" s="47"/>
      <c r="E673" s="49"/>
      <c r="F673" s="49"/>
      <c r="G673" s="49" t="s">
        <v>1510</v>
      </c>
      <c r="H673" s="47" t="s">
        <v>1511</v>
      </c>
      <c r="I673" s="43" t="str">
        <f t="shared" si="42"/>
        <v>自制设备</v>
      </c>
      <c r="J673" s="44" t="str">
        <f t="shared" si="43"/>
        <v>自制设备 55型刹克龙</v>
      </c>
      <c r="K673" s="43">
        <f>COUNTIF($J$2:J673,J673)</f>
        <v>1</v>
      </c>
    </row>
    <row r="674" spans="1:11">
      <c r="A674" s="47">
        <v>666</v>
      </c>
      <c r="B674" s="47">
        <v>149</v>
      </c>
      <c r="C674" s="47"/>
      <c r="D674" s="47"/>
      <c r="E674" s="49"/>
      <c r="F674" s="49"/>
      <c r="G674" s="49" t="s">
        <v>1512</v>
      </c>
      <c r="H674" s="47" t="s">
        <v>1513</v>
      </c>
      <c r="I674" s="43" t="str">
        <f t="shared" si="42"/>
        <v>自制设备</v>
      </c>
      <c r="J674" s="44" t="str">
        <f t="shared" si="43"/>
        <v>自制设备 60型刹克龙</v>
      </c>
      <c r="K674" s="43">
        <f>COUNTIF($J$2:J674,J674)</f>
        <v>1</v>
      </c>
    </row>
    <row r="675" spans="1:11">
      <c r="A675" s="47">
        <v>667</v>
      </c>
      <c r="B675" s="47">
        <v>150</v>
      </c>
      <c r="C675" s="47"/>
      <c r="D675" s="47"/>
      <c r="E675" s="49"/>
      <c r="F675" s="49"/>
      <c r="G675" s="49" t="s">
        <v>1514</v>
      </c>
      <c r="H675" s="47" t="s">
        <v>1515</v>
      </c>
      <c r="I675" s="43" t="str">
        <f t="shared" si="42"/>
        <v>自制设备</v>
      </c>
      <c r="J675" s="44" t="str">
        <f t="shared" si="43"/>
        <v>自制设备 表面冷凝器</v>
      </c>
      <c r="K675" s="43">
        <f>COUNTIF($J$2:J675,J675)</f>
        <v>1</v>
      </c>
    </row>
    <row r="676" spans="1:11">
      <c r="A676" s="47">
        <v>668</v>
      </c>
      <c r="B676" s="47">
        <v>151</v>
      </c>
      <c r="C676" s="47"/>
      <c r="D676" s="47"/>
      <c r="E676" s="49"/>
      <c r="F676" s="49"/>
      <c r="G676" s="49" t="s">
        <v>1516</v>
      </c>
      <c r="H676" s="47" t="s">
        <v>1517</v>
      </c>
      <c r="I676" s="43" t="str">
        <f t="shared" si="42"/>
        <v>自制设备</v>
      </c>
      <c r="J676" s="44" t="str">
        <f t="shared" si="43"/>
        <v>自制设备 料封绞龙</v>
      </c>
      <c r="K676" s="43">
        <f>COUNTIF($J$2:J676,J676)</f>
        <v>1</v>
      </c>
    </row>
    <row r="677" spans="1:11">
      <c r="A677" s="47">
        <v>669</v>
      </c>
      <c r="B677" s="47">
        <v>152</v>
      </c>
      <c r="C677" s="47"/>
      <c r="D677" s="47"/>
      <c r="E677" s="49"/>
      <c r="F677" s="49"/>
      <c r="G677" s="49" t="s">
        <v>1518</v>
      </c>
      <c r="H677" s="47" t="s">
        <v>1519</v>
      </c>
      <c r="I677" s="43" t="str">
        <f t="shared" si="42"/>
        <v>自制设备</v>
      </c>
      <c r="J677" s="44" t="str">
        <f t="shared" si="43"/>
        <v>自制设备 螺旋输送机L</v>
      </c>
      <c r="K677" s="43">
        <f>COUNTIF($J$2:J677,J677)</f>
        <v>1</v>
      </c>
    </row>
    <row r="678" spans="1:11">
      <c r="A678" s="47">
        <v>670</v>
      </c>
      <c r="B678" s="47">
        <v>153</v>
      </c>
      <c r="C678" s="47"/>
      <c r="D678" s="47"/>
      <c r="E678" s="49"/>
      <c r="F678" s="49"/>
      <c r="G678" s="49" t="s">
        <v>1520</v>
      </c>
      <c r="H678" s="47" t="s">
        <v>1521</v>
      </c>
      <c r="I678" s="43" t="str">
        <f t="shared" si="42"/>
        <v>自制设备</v>
      </c>
      <c r="J678" s="44" t="str">
        <f t="shared" si="43"/>
        <v>自制设备 螺旋输送机U</v>
      </c>
      <c r="K678" s="43">
        <f>COUNTIF($J$2:J678,J678)</f>
        <v>1</v>
      </c>
    </row>
    <row r="679" spans="1:11">
      <c r="A679" s="47">
        <v>671</v>
      </c>
      <c r="B679" s="47">
        <v>154</v>
      </c>
      <c r="C679" s="47"/>
      <c r="D679" s="47"/>
      <c r="E679" s="49"/>
      <c r="F679" s="49"/>
      <c r="G679" s="49" t="s">
        <v>1522</v>
      </c>
      <c r="H679" s="47" t="s">
        <v>1523</v>
      </c>
      <c r="I679" s="43" t="str">
        <f t="shared" si="42"/>
        <v>自制设备</v>
      </c>
      <c r="J679" s="44" t="str">
        <f t="shared" si="43"/>
        <v>自制设备 螺旋输送机Y</v>
      </c>
      <c r="K679" s="43">
        <f>COUNTIF($J$2:J679,J679)</f>
        <v>1</v>
      </c>
    </row>
    <row r="680" spans="1:11">
      <c r="A680" s="47">
        <v>672</v>
      </c>
      <c r="B680" s="47">
        <v>155</v>
      </c>
      <c r="C680" s="47"/>
      <c r="D680" s="47"/>
      <c r="E680" s="49"/>
      <c r="F680" s="49"/>
      <c r="G680" s="49" t="s">
        <v>1524</v>
      </c>
      <c r="H680" s="47" t="s">
        <v>1525</v>
      </c>
      <c r="I680" s="43" t="str">
        <f t="shared" si="42"/>
        <v>自制设备</v>
      </c>
      <c r="J680" s="44" t="str">
        <f t="shared" si="43"/>
        <v>自制设备 提升刮板</v>
      </c>
      <c r="K680" s="43">
        <f>COUNTIF($J$2:J680,J680)</f>
        <v>1</v>
      </c>
    </row>
    <row r="681" spans="1:11">
      <c r="A681" s="47">
        <v>673</v>
      </c>
      <c r="B681" s="47">
        <v>156</v>
      </c>
      <c r="C681" s="47"/>
      <c r="D681" s="47"/>
      <c r="E681" s="49"/>
      <c r="F681" s="49"/>
      <c r="G681" s="49" t="s">
        <v>1526</v>
      </c>
      <c r="H681" s="47" t="s">
        <v>1527</v>
      </c>
      <c r="I681" s="43" t="str">
        <f t="shared" si="42"/>
        <v>自制设备</v>
      </c>
      <c r="J681" s="44" t="str">
        <f t="shared" si="43"/>
        <v>自制设备 环形刮板</v>
      </c>
      <c r="K681" s="43">
        <f>COUNTIF($J$2:J681,J681)</f>
        <v>1</v>
      </c>
    </row>
    <row r="682" spans="1:11">
      <c r="A682" s="47">
        <v>674</v>
      </c>
      <c r="B682" s="47">
        <v>157</v>
      </c>
      <c r="C682" s="47"/>
      <c r="D682" s="47"/>
      <c r="E682" s="49"/>
      <c r="F682" s="49"/>
      <c r="G682" s="49" t="s">
        <v>1528</v>
      </c>
      <c r="H682" s="47" t="s">
        <v>1529</v>
      </c>
      <c r="I682" s="43" t="str">
        <f t="shared" si="42"/>
        <v>自制设备</v>
      </c>
      <c r="J682" s="44" t="str">
        <f t="shared" si="43"/>
        <v>自制设备 刮板冷却器</v>
      </c>
      <c r="K682" s="43">
        <f>COUNTIF($J$2:J682,J682)</f>
        <v>1</v>
      </c>
    </row>
    <row r="683" spans="1:11">
      <c r="A683" s="47">
        <v>675</v>
      </c>
      <c r="B683" s="47">
        <v>158</v>
      </c>
      <c r="C683" s="47"/>
      <c r="D683" s="47"/>
      <c r="E683" s="49"/>
      <c r="F683" s="49"/>
      <c r="G683" s="49" t="s">
        <v>1530</v>
      </c>
      <c r="H683" s="47" t="s">
        <v>1531</v>
      </c>
      <c r="I683" s="43" t="str">
        <f t="shared" si="42"/>
        <v>自制设备</v>
      </c>
      <c r="J683" s="44" t="str">
        <f t="shared" si="43"/>
        <v>自制设备 平刮板</v>
      </c>
      <c r="K683" s="43">
        <f>COUNTIF($J$2:J683,J683)</f>
        <v>1</v>
      </c>
    </row>
    <row r="684" spans="1:11">
      <c r="A684" s="47">
        <v>676</v>
      </c>
      <c r="B684" s="47">
        <v>159</v>
      </c>
      <c r="C684" s="47"/>
      <c r="D684" s="47"/>
      <c r="E684" s="49"/>
      <c r="F684" s="49"/>
      <c r="G684" s="49" t="s">
        <v>1532</v>
      </c>
      <c r="H684" s="47" t="s">
        <v>1533</v>
      </c>
      <c r="I684" s="43" t="str">
        <f t="shared" si="42"/>
        <v>自制设备</v>
      </c>
      <c r="J684" s="44" t="str">
        <f t="shared" si="43"/>
        <v>自制设备 油刮板</v>
      </c>
      <c r="K684" s="43">
        <f>COUNTIF($J$2:J684,J684)</f>
        <v>1</v>
      </c>
    </row>
    <row r="685" spans="1:11">
      <c r="A685" s="47">
        <v>677</v>
      </c>
      <c r="B685" s="47">
        <v>160</v>
      </c>
      <c r="C685" s="47"/>
      <c r="D685" s="47"/>
      <c r="E685" s="49"/>
      <c r="F685" s="49"/>
      <c r="G685" s="49" t="s">
        <v>1534</v>
      </c>
      <c r="H685" s="47" t="s">
        <v>1535</v>
      </c>
      <c r="I685" s="43" t="str">
        <f t="shared" si="42"/>
        <v>自制设备</v>
      </c>
      <c r="J685" s="44" t="str">
        <f t="shared" si="43"/>
        <v>自制设备 插板门Y</v>
      </c>
      <c r="K685" s="43">
        <f>COUNTIF($J$2:J685,J685)</f>
        <v>1</v>
      </c>
    </row>
    <row r="686" spans="1:11">
      <c r="A686" s="47">
        <v>678</v>
      </c>
      <c r="B686" s="47">
        <v>161</v>
      </c>
      <c r="C686" s="47"/>
      <c r="D686" s="47"/>
      <c r="E686" s="49"/>
      <c r="F686" s="49"/>
      <c r="G686" s="49" t="s">
        <v>1536</v>
      </c>
      <c r="H686" s="47" t="s">
        <v>1537</v>
      </c>
      <c r="I686" s="43" t="str">
        <f t="shared" si="42"/>
        <v>自制设备</v>
      </c>
      <c r="J686" s="44" t="str">
        <f t="shared" si="43"/>
        <v>自制设备 双层平面回转筛</v>
      </c>
      <c r="K686" s="43">
        <f>COUNTIF($J$2:J686,J686)</f>
        <v>1</v>
      </c>
    </row>
    <row r="687" spans="1:11">
      <c r="A687" s="47">
        <v>679</v>
      </c>
      <c r="B687" s="47">
        <v>162</v>
      </c>
      <c r="C687" s="47"/>
      <c r="D687" s="47"/>
      <c r="E687" s="49"/>
      <c r="F687" s="49"/>
      <c r="G687" s="49" t="s">
        <v>1538</v>
      </c>
      <c r="H687" s="47" t="s">
        <v>1539</v>
      </c>
      <c r="I687" s="43" t="str">
        <f t="shared" si="42"/>
        <v>自制设备</v>
      </c>
      <c r="J687" s="44" t="str">
        <f t="shared" si="43"/>
        <v>自制设备 单层平面回转筛</v>
      </c>
      <c r="K687" s="43">
        <f>COUNTIF($J$2:J687,J687)</f>
        <v>1</v>
      </c>
    </row>
    <row r="688" spans="1:11">
      <c r="A688" s="47">
        <v>680</v>
      </c>
      <c r="B688" s="47">
        <v>163</v>
      </c>
      <c r="C688" s="47"/>
      <c r="D688" s="47"/>
      <c r="E688" s="49"/>
      <c r="F688" s="49"/>
      <c r="G688" s="49" t="s">
        <v>1540</v>
      </c>
      <c r="H688" s="47" t="s">
        <v>1541</v>
      </c>
      <c r="I688" s="43" t="str">
        <f t="shared" si="42"/>
        <v>自制设备</v>
      </c>
      <c r="J688" s="44" t="str">
        <f t="shared" si="43"/>
        <v>自制设备 回转分级筛</v>
      </c>
      <c r="K688" s="43">
        <f>COUNTIF($J$2:J688,J688)</f>
        <v>1</v>
      </c>
    </row>
    <row r="689" spans="1:11">
      <c r="A689" s="47">
        <v>681</v>
      </c>
      <c r="B689" s="47">
        <v>164</v>
      </c>
      <c r="C689" s="47"/>
      <c r="D689" s="47"/>
      <c r="E689" s="49"/>
      <c r="F689" s="49"/>
      <c r="G689" s="49" t="s">
        <v>1542</v>
      </c>
      <c r="H689" s="47" t="s">
        <v>1543</v>
      </c>
      <c r="I689" s="43" t="str">
        <f t="shared" si="42"/>
        <v>自制设备</v>
      </c>
      <c r="J689" s="44" t="str">
        <f t="shared" si="43"/>
        <v>自制设备 清籽机</v>
      </c>
      <c r="K689" s="43">
        <f>COUNTIF($J$2:J689,J689)</f>
        <v>1</v>
      </c>
    </row>
    <row r="690" spans="1:11">
      <c r="A690" s="47">
        <v>682</v>
      </c>
      <c r="B690" s="47">
        <v>165</v>
      </c>
      <c r="C690" s="47"/>
      <c r="D690" s="47"/>
      <c r="E690" s="49"/>
      <c r="F690" s="49"/>
      <c r="G690" s="49" t="s">
        <v>1544</v>
      </c>
      <c r="H690" s="47" t="s">
        <v>1545</v>
      </c>
      <c r="I690" s="43" t="str">
        <f t="shared" si="42"/>
        <v>自制设备</v>
      </c>
      <c r="J690" s="44" t="str">
        <f t="shared" si="43"/>
        <v>自制设备 重力分级去石机XH</v>
      </c>
      <c r="K690" s="43">
        <f>COUNTIF($J$2:J690,J690)</f>
        <v>1</v>
      </c>
    </row>
    <row r="691" spans="1:11">
      <c r="A691" s="47">
        <v>683</v>
      </c>
      <c r="B691" s="47">
        <v>166</v>
      </c>
      <c r="C691" s="47"/>
      <c r="D691" s="47"/>
      <c r="E691" s="49"/>
      <c r="F691" s="49"/>
      <c r="G691" s="49" t="s">
        <v>1546</v>
      </c>
      <c r="H691" s="47" t="s">
        <v>1547</v>
      </c>
      <c r="I691" s="43" t="str">
        <f t="shared" si="42"/>
        <v>自制设备</v>
      </c>
      <c r="J691" s="44" t="str">
        <f t="shared" si="43"/>
        <v>自制设备 液压翻板</v>
      </c>
      <c r="K691" s="43">
        <f>COUNTIF($J$2:J691,J691)</f>
        <v>1</v>
      </c>
    </row>
    <row r="692" spans="1:11">
      <c r="A692" s="47">
        <v>684</v>
      </c>
      <c r="B692" s="47">
        <v>167</v>
      </c>
      <c r="C692" s="47"/>
      <c r="D692" s="47"/>
      <c r="E692" s="49"/>
      <c r="F692" s="49"/>
      <c r="G692" s="49" t="s">
        <v>1548</v>
      </c>
      <c r="H692" s="47" t="s">
        <v>1549</v>
      </c>
      <c r="I692" s="43" t="str">
        <f t="shared" si="42"/>
        <v>自制设备</v>
      </c>
      <c r="J692" s="44" t="str">
        <f t="shared" si="43"/>
        <v>自制设备 蛋白分离筛</v>
      </c>
      <c r="K692" s="43">
        <f>COUNTIF($J$2:J692,J692)</f>
        <v>1</v>
      </c>
    </row>
    <row r="693" spans="1:11">
      <c r="A693" s="47">
        <v>685</v>
      </c>
      <c r="B693" s="47">
        <v>168</v>
      </c>
      <c r="C693" s="47"/>
      <c r="D693" s="47"/>
      <c r="E693" s="49"/>
      <c r="F693" s="49"/>
      <c r="G693" s="49" t="s">
        <v>1550</v>
      </c>
      <c r="H693" s="47" t="s">
        <v>1551</v>
      </c>
      <c r="I693" s="43" t="str">
        <f t="shared" si="42"/>
        <v>自制设备</v>
      </c>
      <c r="J693" s="44" t="str">
        <f t="shared" si="43"/>
        <v>自制设备 螺旋喂料器</v>
      </c>
      <c r="K693" s="43">
        <f>COUNTIF($J$2:J693,J693)</f>
        <v>1</v>
      </c>
    </row>
    <row r="694" spans="1:11">
      <c r="A694" s="47">
        <v>686</v>
      </c>
      <c r="B694" s="47">
        <v>169</v>
      </c>
      <c r="C694" s="47"/>
      <c r="D694" s="47"/>
      <c r="E694" s="49"/>
      <c r="F694" s="49"/>
      <c r="G694" s="49" t="s">
        <v>1552</v>
      </c>
      <c r="H694" s="47" t="s">
        <v>1553</v>
      </c>
      <c r="I694" s="43" t="str">
        <f t="shared" si="42"/>
        <v>自制设备</v>
      </c>
      <c r="J694" s="44" t="str">
        <f t="shared" si="43"/>
        <v>自制设备 双叶轮喂料器</v>
      </c>
      <c r="K694" s="43">
        <f>COUNTIF($J$2:J694,J694)</f>
        <v>1</v>
      </c>
    </row>
    <row r="695" spans="1:11">
      <c r="A695" s="47">
        <v>687</v>
      </c>
      <c r="B695" s="47">
        <v>170</v>
      </c>
      <c r="C695" s="47"/>
      <c r="D695" s="47"/>
      <c r="E695" s="49"/>
      <c r="F695" s="49"/>
      <c r="G695" s="49" t="s">
        <v>1554</v>
      </c>
      <c r="H695" s="47" t="s">
        <v>1555</v>
      </c>
      <c r="I695" s="43" t="str">
        <f t="shared" si="42"/>
        <v>自制设备</v>
      </c>
      <c r="J695" s="44" t="str">
        <f t="shared" si="43"/>
        <v>自制设备 吸风分离器</v>
      </c>
      <c r="K695" s="43">
        <f>COUNTIF($J$2:J695,J695)</f>
        <v>1</v>
      </c>
    </row>
    <row r="696" spans="1:11">
      <c r="A696" s="47">
        <v>688</v>
      </c>
      <c r="B696" s="47">
        <v>171</v>
      </c>
      <c r="C696" s="47"/>
      <c r="D696" s="47"/>
      <c r="E696" s="49"/>
      <c r="F696" s="49"/>
      <c r="G696" s="49" t="s">
        <v>1556</v>
      </c>
      <c r="H696" s="47" t="s">
        <v>1557</v>
      </c>
      <c r="I696" s="43" t="str">
        <f t="shared" si="42"/>
        <v>自制设备</v>
      </c>
      <c r="J696" s="44" t="str">
        <f t="shared" si="43"/>
        <v>自制设备 旋转阀</v>
      </c>
      <c r="K696" s="43">
        <f>COUNTIF($J$2:J696,J696)</f>
        <v>1</v>
      </c>
    </row>
    <row r="697" spans="1:11">
      <c r="A697" s="47">
        <v>689</v>
      </c>
      <c r="B697" s="47">
        <v>172</v>
      </c>
      <c r="C697" s="47"/>
      <c r="D697" s="47"/>
      <c r="E697" s="49"/>
      <c r="F697" s="49"/>
      <c r="G697" s="49" t="s">
        <v>1558</v>
      </c>
      <c r="H697" s="47" t="s">
        <v>1559</v>
      </c>
      <c r="I697" s="43" t="str">
        <f t="shared" si="42"/>
        <v>自制设备</v>
      </c>
      <c r="J697" s="44" t="str">
        <f t="shared" si="43"/>
        <v>自制设备 降膜蒸发器</v>
      </c>
      <c r="K697" s="43">
        <f>COUNTIF($J$2:J697,J697)</f>
        <v>1</v>
      </c>
    </row>
    <row r="698" spans="1:11">
      <c r="A698" s="47">
        <v>690</v>
      </c>
      <c r="B698" s="47">
        <v>173</v>
      </c>
      <c r="C698" s="47"/>
      <c r="D698" s="47"/>
      <c r="E698" s="49"/>
      <c r="F698" s="49"/>
      <c r="G698" s="49" t="s">
        <v>379</v>
      </c>
      <c r="H698" s="47" t="s">
        <v>1560</v>
      </c>
      <c r="I698" s="43" t="str">
        <f t="shared" si="42"/>
        <v>自制设备</v>
      </c>
      <c r="J698" s="44" t="str">
        <f t="shared" si="43"/>
        <v>自制设备 电动闸门</v>
      </c>
      <c r="K698" s="43">
        <f>COUNTIF($J$2:J698,J698)</f>
        <v>1</v>
      </c>
    </row>
    <row r="699" spans="1:11">
      <c r="A699" s="47">
        <v>691</v>
      </c>
      <c r="B699" s="47">
        <v>174</v>
      </c>
      <c r="C699" s="47"/>
      <c r="D699" s="47"/>
      <c r="E699" s="49"/>
      <c r="F699" s="49"/>
      <c r="G699" s="49" t="s">
        <v>1561</v>
      </c>
      <c r="H699" s="47" t="s">
        <v>1562</v>
      </c>
      <c r="I699" s="43" t="str">
        <f t="shared" si="42"/>
        <v>自制设备</v>
      </c>
      <c r="J699" s="44" t="str">
        <f t="shared" si="43"/>
        <v>自制设备 气动密封闸门</v>
      </c>
      <c r="K699" s="43">
        <f>COUNTIF($J$2:J699,J699)</f>
        <v>1</v>
      </c>
    </row>
    <row r="700" spans="1:11">
      <c r="A700" s="47">
        <v>692</v>
      </c>
      <c r="B700" s="47">
        <v>175</v>
      </c>
      <c r="C700" s="47"/>
      <c r="D700" s="47"/>
      <c r="E700" s="49"/>
      <c r="F700" s="49"/>
      <c r="G700" s="49" t="s">
        <v>381</v>
      </c>
      <c r="H700" s="47" t="s">
        <v>1563</v>
      </c>
      <c r="I700" s="43" t="str">
        <f t="shared" si="42"/>
        <v>自制设备</v>
      </c>
      <c r="J700" s="44" t="str">
        <f t="shared" si="43"/>
        <v>自制设备 气动闸门</v>
      </c>
      <c r="K700" s="43">
        <f>COUNTIF($J$2:J700,J700)</f>
        <v>1</v>
      </c>
    </row>
    <row r="701" spans="1:11">
      <c r="A701" s="47">
        <v>693</v>
      </c>
      <c r="B701" s="47">
        <v>176</v>
      </c>
      <c r="C701" s="47"/>
      <c r="D701" s="47"/>
      <c r="E701" s="49"/>
      <c r="F701" s="49"/>
      <c r="G701" s="49" t="s">
        <v>383</v>
      </c>
      <c r="H701" s="47" t="s">
        <v>1564</v>
      </c>
      <c r="I701" s="43" t="str">
        <f t="shared" si="42"/>
        <v>自制设备</v>
      </c>
      <c r="J701" s="44" t="str">
        <f t="shared" si="43"/>
        <v>自制设备 手动闸门</v>
      </c>
      <c r="K701" s="43">
        <f>COUNTIF($J$2:J701,J701)</f>
        <v>1</v>
      </c>
    </row>
    <row r="702" spans="1:11">
      <c r="A702" s="47">
        <v>694</v>
      </c>
      <c r="B702" s="47">
        <v>177</v>
      </c>
      <c r="C702" s="47"/>
      <c r="D702" s="47"/>
      <c r="E702" s="49"/>
      <c r="F702" s="49"/>
      <c r="G702" s="49" t="s">
        <v>1565</v>
      </c>
      <c r="H702" s="47" t="s">
        <v>1566</v>
      </c>
      <c r="I702" s="43" t="str">
        <f t="shared" si="42"/>
        <v>自制设备</v>
      </c>
      <c r="J702" s="44" t="str">
        <f t="shared" si="43"/>
        <v>自制设备 离心剥壳机</v>
      </c>
      <c r="K702" s="43">
        <f>COUNTIF($J$2:J702,J702)</f>
        <v>1</v>
      </c>
    </row>
    <row r="703" spans="1:11">
      <c r="A703" s="47">
        <v>695</v>
      </c>
      <c r="B703" s="47">
        <v>178</v>
      </c>
      <c r="C703" s="47"/>
      <c r="D703" s="47"/>
      <c r="E703" s="49"/>
      <c r="F703" s="49"/>
      <c r="G703" s="49" t="s">
        <v>1567</v>
      </c>
      <c r="H703" s="47" t="s">
        <v>1568</v>
      </c>
      <c r="I703" s="43" t="str">
        <f t="shared" si="42"/>
        <v>自制设备</v>
      </c>
      <c r="J703" s="44" t="str">
        <f t="shared" si="43"/>
        <v>自制设备 撞击剥壳机</v>
      </c>
      <c r="K703" s="43">
        <f>COUNTIF($J$2:J703,J703)</f>
        <v>1</v>
      </c>
    </row>
    <row r="704" spans="1:11">
      <c r="A704" s="47">
        <v>696</v>
      </c>
      <c r="B704" s="47">
        <v>179</v>
      </c>
      <c r="C704" s="47"/>
      <c r="D704" s="47"/>
      <c r="E704" s="49"/>
      <c r="F704" s="49"/>
      <c r="G704" s="49" t="s">
        <v>1569</v>
      </c>
      <c r="H704" s="47" t="s">
        <v>1570</v>
      </c>
      <c r="I704" s="43" t="str">
        <f t="shared" si="42"/>
        <v>自制设备</v>
      </c>
      <c r="J704" s="44" t="str">
        <f t="shared" si="43"/>
        <v>自制设备 干式捕粕器</v>
      </c>
      <c r="K704" s="43">
        <f>COUNTIF($J$2:J704,J704)</f>
        <v>1</v>
      </c>
    </row>
    <row r="705" spans="1:11">
      <c r="A705" s="47">
        <v>697</v>
      </c>
      <c r="B705" s="47">
        <v>180</v>
      </c>
      <c r="C705" s="47"/>
      <c r="D705" s="47"/>
      <c r="E705" s="49"/>
      <c r="F705" s="49"/>
      <c r="G705" s="49" t="s">
        <v>1571</v>
      </c>
      <c r="H705" s="47" t="s">
        <v>1572</v>
      </c>
      <c r="I705" s="43" t="str">
        <f t="shared" si="42"/>
        <v>自制设备</v>
      </c>
      <c r="J705" s="44" t="str">
        <f t="shared" si="43"/>
        <v>自制设备 捕粕器P</v>
      </c>
      <c r="K705" s="43">
        <f>COUNTIF($J$2:J705,J705)</f>
        <v>1</v>
      </c>
    </row>
    <row r="706" spans="1:11">
      <c r="A706" s="47">
        <v>698</v>
      </c>
      <c r="B706" s="47">
        <v>181</v>
      </c>
      <c r="C706" s="47"/>
      <c r="D706" s="47"/>
      <c r="E706" s="49"/>
      <c r="F706" s="49"/>
      <c r="G706" s="49" t="s">
        <v>1573</v>
      </c>
      <c r="H706" s="47" t="s">
        <v>1574</v>
      </c>
      <c r="I706" s="43" t="str">
        <f t="shared" si="42"/>
        <v>自制设备</v>
      </c>
      <c r="J706" s="44" t="str">
        <f t="shared" si="43"/>
        <v>自制设备 湿式捕粕器</v>
      </c>
      <c r="K706" s="43">
        <f>COUNTIF($J$2:J706,J706)</f>
        <v>1</v>
      </c>
    </row>
    <row r="707" spans="1:11">
      <c r="A707" s="47">
        <v>699</v>
      </c>
      <c r="B707" s="47">
        <v>182</v>
      </c>
      <c r="C707" s="47"/>
      <c r="D707" s="47"/>
      <c r="E707" s="49"/>
      <c r="F707" s="49"/>
      <c r="G707" s="49" t="s">
        <v>1575</v>
      </c>
      <c r="H707" s="47" t="s">
        <v>1576</v>
      </c>
      <c r="I707" s="43" t="str">
        <f t="shared" si="42"/>
        <v>自制设备</v>
      </c>
      <c r="J707" s="44" t="str">
        <f t="shared" si="43"/>
        <v>自制设备 白土定量罐</v>
      </c>
      <c r="K707" s="43">
        <f>COUNTIF($J$2:J707,J707)</f>
        <v>1</v>
      </c>
    </row>
    <row r="708" spans="1:11">
      <c r="A708" s="47">
        <v>700</v>
      </c>
      <c r="B708" s="47">
        <v>183</v>
      </c>
      <c r="C708" s="47"/>
      <c r="D708" s="47"/>
      <c r="E708" s="49"/>
      <c r="F708" s="49"/>
      <c r="G708" s="49" t="s">
        <v>1577</v>
      </c>
      <c r="H708" s="47" t="s">
        <v>1578</v>
      </c>
      <c r="I708" s="43" t="str">
        <f t="shared" si="42"/>
        <v>自制设备</v>
      </c>
      <c r="J708" s="44" t="str">
        <f t="shared" si="43"/>
        <v>自制设备 澄油箱</v>
      </c>
      <c r="K708" s="43">
        <f>COUNTIF($J$2:J708,J708)</f>
        <v>1</v>
      </c>
    </row>
    <row r="709" spans="1:11">
      <c r="A709" s="47">
        <v>701</v>
      </c>
      <c r="B709" s="47">
        <v>184</v>
      </c>
      <c r="C709" s="47"/>
      <c r="D709" s="47"/>
      <c r="E709" s="49"/>
      <c r="F709" s="49"/>
      <c r="G709" s="49" t="s">
        <v>1579</v>
      </c>
      <c r="H709" s="47" t="s">
        <v>1580</v>
      </c>
      <c r="I709" s="43" t="str">
        <f t="shared" si="42"/>
        <v>自制设备</v>
      </c>
      <c r="J709" s="44" t="str">
        <f t="shared" si="43"/>
        <v>自制设备 脱溶机A筒</v>
      </c>
      <c r="K709" s="43">
        <f>COUNTIF($J$2:J709,J709)</f>
        <v>1</v>
      </c>
    </row>
    <row r="710" spans="1:11">
      <c r="A710" s="47">
        <v>702</v>
      </c>
      <c r="B710" s="47">
        <v>185</v>
      </c>
      <c r="C710" s="47"/>
      <c r="D710" s="47"/>
      <c r="E710" s="49"/>
      <c r="F710" s="49"/>
      <c r="G710" s="49" t="s">
        <v>1581</v>
      </c>
      <c r="H710" s="47" t="s">
        <v>1582</v>
      </c>
      <c r="I710" s="43" t="str">
        <f t="shared" si="42"/>
        <v>自制设备</v>
      </c>
      <c r="J710" s="44" t="str">
        <f t="shared" si="43"/>
        <v>自制设备 脱溶机B筒</v>
      </c>
      <c r="K710" s="43">
        <f>COUNTIF($J$2:J710,J710)</f>
        <v>1</v>
      </c>
    </row>
    <row r="711" spans="1:11">
      <c r="A711" s="47">
        <v>703</v>
      </c>
      <c r="B711" s="47">
        <v>186</v>
      </c>
      <c r="C711" s="47"/>
      <c r="D711" s="47"/>
      <c r="E711" s="49"/>
      <c r="F711" s="49"/>
      <c r="G711" s="49" t="s">
        <v>1583</v>
      </c>
      <c r="H711" s="47" t="s">
        <v>1584</v>
      </c>
      <c r="I711" s="43" t="str">
        <f t="shared" si="42"/>
        <v>自制设备</v>
      </c>
      <c r="J711" s="44" t="str">
        <f t="shared" si="43"/>
        <v>自制设备 蛋白蒸脱机</v>
      </c>
      <c r="K711" s="43">
        <f>COUNTIF($J$2:J711,J711)</f>
        <v>1</v>
      </c>
    </row>
    <row r="712" spans="1:11">
      <c r="A712" s="47">
        <v>704</v>
      </c>
      <c r="B712" s="47">
        <v>187</v>
      </c>
      <c r="C712" s="47"/>
      <c r="D712" s="47"/>
      <c r="E712" s="49"/>
      <c r="F712" s="49"/>
      <c r="G712" s="49" t="s">
        <v>1585</v>
      </c>
      <c r="H712" s="47" t="s">
        <v>1586</v>
      </c>
      <c r="I712" s="43" t="str">
        <f t="shared" si="42"/>
        <v>自制设备</v>
      </c>
      <c r="J712" s="44" t="str">
        <f t="shared" si="43"/>
        <v>自制设备 预混绞龙</v>
      </c>
      <c r="K712" s="43">
        <f>COUNTIF($J$2:J712,J712)</f>
        <v>1</v>
      </c>
    </row>
    <row r="713" spans="1:11">
      <c r="A713" s="47">
        <v>705</v>
      </c>
      <c r="B713" s="47">
        <v>188</v>
      </c>
      <c r="C713" s="47"/>
      <c r="D713" s="47"/>
      <c r="E713" s="49"/>
      <c r="F713" s="49"/>
      <c r="G713" s="49" t="s">
        <v>1587</v>
      </c>
      <c r="H713" s="47" t="s">
        <v>1588</v>
      </c>
      <c r="I713" s="43" t="str">
        <f t="shared" si="42"/>
        <v>自制设备</v>
      </c>
      <c r="J713" s="44" t="str">
        <f t="shared" si="43"/>
        <v>自制设备 酶反应柱</v>
      </c>
      <c r="K713" s="43">
        <f>COUNTIF($J$2:J713,J713)</f>
        <v>1</v>
      </c>
    </row>
    <row r="714" spans="1:11">
      <c r="A714" s="47">
        <v>706</v>
      </c>
      <c r="B714" s="47">
        <v>189</v>
      </c>
      <c r="C714" s="47"/>
      <c r="D714" s="47"/>
      <c r="E714" s="49"/>
      <c r="F714" s="49"/>
      <c r="G714" s="49" t="s">
        <v>1589</v>
      </c>
      <c r="H714" s="47" t="s">
        <v>1590</v>
      </c>
      <c r="I714" s="43" t="str">
        <f t="shared" si="42"/>
        <v>自制设备</v>
      </c>
      <c r="J714" s="44" t="str">
        <f t="shared" si="43"/>
        <v>自制设备 最终加热器E</v>
      </c>
      <c r="K714" s="43">
        <f>COUNTIF($J$2:J714,J714)</f>
        <v>1</v>
      </c>
    </row>
    <row r="715" spans="1:11">
      <c r="A715" s="47">
        <v>707</v>
      </c>
      <c r="B715" s="47">
        <v>190</v>
      </c>
      <c r="C715" s="47"/>
      <c r="D715" s="47"/>
      <c r="E715" s="49"/>
      <c r="F715" s="49"/>
      <c r="G715" s="49" t="s">
        <v>1591</v>
      </c>
      <c r="H715" s="47" t="s">
        <v>1592</v>
      </c>
      <c r="I715" s="43" t="str">
        <f t="shared" si="42"/>
        <v>自制设备</v>
      </c>
      <c r="J715" s="44" t="str">
        <f t="shared" si="43"/>
        <v>自制设备 最终加热器Q</v>
      </c>
      <c r="K715" s="43">
        <f>COUNTIF($J$2:J715,J715)</f>
        <v>1</v>
      </c>
    </row>
    <row r="716" spans="1:11">
      <c r="A716" s="47">
        <v>708</v>
      </c>
      <c r="B716" s="47">
        <v>191</v>
      </c>
      <c r="C716" s="47"/>
      <c r="D716" s="47"/>
      <c r="E716" s="49"/>
      <c r="F716" s="49"/>
      <c r="G716" s="49" t="s">
        <v>1593</v>
      </c>
      <c r="H716" s="47" t="s">
        <v>1594</v>
      </c>
      <c r="I716" s="43" t="str">
        <f t="shared" si="42"/>
        <v>自制设备</v>
      </c>
      <c r="J716" s="44" t="str">
        <f t="shared" si="43"/>
        <v>自制设备 最终加热器Y</v>
      </c>
      <c r="K716" s="43">
        <f>COUNTIF($J$2:J716,J716)</f>
        <v>1</v>
      </c>
    </row>
    <row r="717" spans="1:11">
      <c r="A717" s="47">
        <v>709</v>
      </c>
      <c r="B717" s="47">
        <v>192</v>
      </c>
      <c r="C717" s="47"/>
      <c r="D717" s="47"/>
      <c r="E717" s="49"/>
      <c r="F717" s="49"/>
      <c r="G717" s="49" t="s">
        <v>1595</v>
      </c>
      <c r="H717" s="47" t="s">
        <v>1596</v>
      </c>
      <c r="I717" s="43" t="str">
        <f t="shared" si="42"/>
        <v>自制设备</v>
      </c>
      <c r="J717" s="44" t="str">
        <f t="shared" si="43"/>
        <v>自制设备 液沫分离器</v>
      </c>
      <c r="K717" s="43">
        <f>COUNTIF($J$2:J717,J717)</f>
        <v>1</v>
      </c>
    </row>
    <row r="718" spans="1:11">
      <c r="A718" s="47">
        <v>710</v>
      </c>
      <c r="B718" s="47">
        <v>193</v>
      </c>
      <c r="C718" s="47"/>
      <c r="D718" s="47"/>
      <c r="E718" s="49"/>
      <c r="F718" s="49"/>
      <c r="G718" s="49" t="s">
        <v>1597</v>
      </c>
      <c r="H718" s="47" t="s">
        <v>1598</v>
      </c>
      <c r="I718" s="43" t="str">
        <f t="shared" si="42"/>
        <v>自制设备</v>
      </c>
      <c r="J718" s="44" t="str">
        <f t="shared" si="43"/>
        <v>自制设备 分离器Q</v>
      </c>
      <c r="K718" s="43">
        <f>COUNTIF($J$2:J718,J718)</f>
        <v>1</v>
      </c>
    </row>
    <row r="719" spans="1:11">
      <c r="A719" s="47">
        <v>711</v>
      </c>
      <c r="B719" s="47">
        <v>194</v>
      </c>
      <c r="C719" s="47"/>
      <c r="D719" s="47"/>
      <c r="E719" s="49"/>
      <c r="F719" s="49"/>
      <c r="G719" s="49" t="s">
        <v>1599</v>
      </c>
      <c r="H719" s="47" t="s">
        <v>1600</v>
      </c>
      <c r="I719" s="43" t="str">
        <f t="shared" si="42"/>
        <v>自制设备</v>
      </c>
      <c r="J719" s="44" t="str">
        <f t="shared" si="43"/>
        <v>自制设备 旋液分离器</v>
      </c>
      <c r="K719" s="43">
        <f>COUNTIF($J$2:J719,J719)</f>
        <v>1</v>
      </c>
    </row>
    <row r="720" spans="1:11">
      <c r="A720" s="47">
        <v>712</v>
      </c>
      <c r="B720" s="47">
        <v>195</v>
      </c>
      <c r="C720" s="47"/>
      <c r="D720" s="47"/>
      <c r="E720" s="49"/>
      <c r="F720" s="49"/>
      <c r="G720" s="49" t="s">
        <v>1601</v>
      </c>
      <c r="H720" s="47" t="s">
        <v>1602</v>
      </c>
      <c r="I720" s="43" t="str">
        <f t="shared" si="42"/>
        <v>自制设备</v>
      </c>
      <c r="J720" s="44" t="str">
        <f t="shared" si="43"/>
        <v>自制设备 油汽分离器</v>
      </c>
      <c r="K720" s="43">
        <f>COUNTIF($J$2:J720,J720)</f>
        <v>1</v>
      </c>
    </row>
    <row r="721" spans="1:11">
      <c r="A721" s="47">
        <v>713</v>
      </c>
      <c r="B721" s="47">
        <v>196</v>
      </c>
      <c r="C721" s="47"/>
      <c r="D721" s="47"/>
      <c r="E721" s="49"/>
      <c r="F721" s="49"/>
      <c r="G721" s="49" t="s">
        <v>1603</v>
      </c>
      <c r="H721" s="47" t="s">
        <v>1604</v>
      </c>
      <c r="I721" s="43" t="str">
        <f t="shared" si="42"/>
        <v>自制设备</v>
      </c>
      <c r="J721" s="44" t="str">
        <f t="shared" si="43"/>
        <v>自制设备 汽水分离器</v>
      </c>
      <c r="K721" s="43">
        <f>COUNTIF($J$2:J721,J721)</f>
        <v>1</v>
      </c>
    </row>
    <row r="722" spans="1:11">
      <c r="A722" s="47">
        <v>714</v>
      </c>
      <c r="B722" s="47">
        <v>197</v>
      </c>
      <c r="C722" s="47"/>
      <c r="D722" s="47"/>
      <c r="E722" s="49"/>
      <c r="F722" s="49"/>
      <c r="G722" s="49" t="s">
        <v>1605</v>
      </c>
      <c r="H722" s="47" t="s">
        <v>1606</v>
      </c>
      <c r="I722" s="43" t="str">
        <f t="shared" si="42"/>
        <v>自制设备</v>
      </c>
      <c r="J722" s="44" t="str">
        <f t="shared" si="43"/>
        <v>自制设备 分水箱L</v>
      </c>
      <c r="K722" s="43">
        <f>COUNTIF($J$2:J722,J722)</f>
        <v>1</v>
      </c>
    </row>
    <row r="723" spans="1:11">
      <c r="A723" s="47">
        <v>715</v>
      </c>
      <c r="B723" s="47">
        <v>198</v>
      </c>
      <c r="C723" s="47"/>
      <c r="D723" s="47"/>
      <c r="E723" s="49"/>
      <c r="F723" s="49"/>
      <c r="G723" s="49" t="s">
        <v>1607</v>
      </c>
      <c r="H723" s="47" t="s">
        <v>1608</v>
      </c>
      <c r="I723" s="43" t="str">
        <f t="shared" si="42"/>
        <v>自制设备</v>
      </c>
      <c r="J723" s="44" t="str">
        <f t="shared" si="43"/>
        <v>自制设备 分水箱</v>
      </c>
      <c r="K723" s="43">
        <f>COUNTIF($J$2:J723,J723)</f>
        <v>1</v>
      </c>
    </row>
    <row r="724" spans="1:11">
      <c r="A724" s="47">
        <v>716</v>
      </c>
      <c r="B724" s="47">
        <v>199</v>
      </c>
      <c r="C724" s="47"/>
      <c r="D724" s="47"/>
      <c r="E724" s="49"/>
      <c r="F724" s="49"/>
      <c r="G724" s="49" t="s">
        <v>1609</v>
      </c>
      <c r="H724" s="47" t="s">
        <v>1610</v>
      </c>
      <c r="I724" s="43" t="str">
        <f t="shared" si="42"/>
        <v>自制设备</v>
      </c>
      <c r="J724" s="44" t="str">
        <f t="shared" si="43"/>
        <v>自制设备 多级风选器</v>
      </c>
      <c r="K724" s="43">
        <f>COUNTIF($J$2:J724,J724)</f>
        <v>1</v>
      </c>
    </row>
    <row r="725" spans="1:11">
      <c r="A725" s="47">
        <v>717</v>
      </c>
      <c r="B725" s="47">
        <v>200</v>
      </c>
      <c r="C725" s="47"/>
      <c r="D725" s="47"/>
      <c r="E725" s="49"/>
      <c r="F725" s="49"/>
      <c r="G725" s="49" t="s">
        <v>1611</v>
      </c>
      <c r="H725" s="47" t="s">
        <v>1612</v>
      </c>
      <c r="I725" s="43" t="str">
        <f t="shared" si="42"/>
        <v>自制设备</v>
      </c>
      <c r="J725" s="44" t="str">
        <f t="shared" si="43"/>
        <v>自制设备 立式风选器</v>
      </c>
      <c r="K725" s="43">
        <f>COUNTIF($J$2:J725,J725)</f>
        <v>1</v>
      </c>
    </row>
    <row r="726" spans="1:11">
      <c r="A726" s="47">
        <v>718</v>
      </c>
      <c r="B726" s="47">
        <v>201</v>
      </c>
      <c r="C726" s="47"/>
      <c r="D726" s="47"/>
      <c r="E726" s="49"/>
      <c r="F726" s="49"/>
      <c r="G726" s="49" t="s">
        <v>1613</v>
      </c>
      <c r="H726" s="47" t="s">
        <v>1614</v>
      </c>
      <c r="I726" s="43" t="str">
        <f t="shared" si="42"/>
        <v>自制设备</v>
      </c>
      <c r="J726" s="44" t="str">
        <f t="shared" si="43"/>
        <v>自制设备 受压反应罐</v>
      </c>
      <c r="K726" s="43">
        <f>COUNTIF($J$2:J726,J726)</f>
        <v>1</v>
      </c>
    </row>
    <row r="727" spans="1:11">
      <c r="A727" s="47">
        <v>719</v>
      </c>
      <c r="B727" s="47">
        <v>202</v>
      </c>
      <c r="C727" s="47"/>
      <c r="D727" s="47"/>
      <c r="E727" s="49"/>
      <c r="F727" s="49"/>
      <c r="G727" s="49" t="s">
        <v>1615</v>
      </c>
      <c r="H727" s="47" t="s">
        <v>1616</v>
      </c>
      <c r="I727" s="43" t="str">
        <f t="shared" si="42"/>
        <v>自制设备</v>
      </c>
      <c r="J727" s="44" t="str">
        <f t="shared" si="43"/>
        <v>自制设备 常压反应罐</v>
      </c>
      <c r="K727" s="43">
        <f>COUNTIF($J$2:J727,J727)</f>
        <v>1</v>
      </c>
    </row>
    <row r="728" spans="1:11">
      <c r="A728" s="47">
        <v>720</v>
      </c>
      <c r="B728" s="47">
        <v>203</v>
      </c>
      <c r="C728" s="47"/>
      <c r="D728" s="47"/>
      <c r="E728" s="49"/>
      <c r="F728" s="49"/>
      <c r="G728" s="49" t="s">
        <v>1617</v>
      </c>
      <c r="H728" s="47" t="s">
        <v>1618</v>
      </c>
      <c r="I728" s="43" t="str">
        <f t="shared" si="42"/>
        <v>自制设备</v>
      </c>
      <c r="J728" s="44" t="str">
        <f t="shared" si="43"/>
        <v>自制设备 传热罐L</v>
      </c>
      <c r="K728" s="43">
        <f>COUNTIF($J$2:J728,J728)</f>
        <v>1</v>
      </c>
    </row>
    <row r="729" spans="1:11">
      <c r="A729" s="47">
        <v>721</v>
      </c>
      <c r="B729" s="47">
        <v>204</v>
      </c>
      <c r="C729" s="47"/>
      <c r="D729" s="47"/>
      <c r="E729" s="49"/>
      <c r="F729" s="49"/>
      <c r="G729" s="49" t="s">
        <v>1619</v>
      </c>
      <c r="H729" s="47" t="s">
        <v>1620</v>
      </c>
      <c r="I729" s="43" t="str">
        <f t="shared" si="42"/>
        <v>自制设备</v>
      </c>
      <c r="J729" s="44" t="str">
        <f t="shared" si="43"/>
        <v>自制设备 传热罐W</v>
      </c>
      <c r="K729" s="43">
        <f>COUNTIF($J$2:J729,J729)</f>
        <v>1</v>
      </c>
    </row>
    <row r="730" spans="1:11">
      <c r="A730" s="47">
        <v>722</v>
      </c>
      <c r="B730" s="47">
        <v>205</v>
      </c>
      <c r="C730" s="47"/>
      <c r="D730" s="47"/>
      <c r="E730" s="49"/>
      <c r="F730" s="49"/>
      <c r="G730" s="49" t="s">
        <v>1621</v>
      </c>
      <c r="H730" s="47" t="s">
        <v>1622</v>
      </c>
      <c r="I730" s="43" t="str">
        <f t="shared" ref="I730:I793" si="44">IF(COUNTA(C730)=1,C730,I729)</f>
        <v>自制设备</v>
      </c>
      <c r="J730" s="44" t="str">
        <f t="shared" ref="J730:J793" si="45">CONCATENATE(I730," ",G730)</f>
        <v>自制设备 预涂罐</v>
      </c>
      <c r="K730" s="43">
        <f>COUNTIF($J$2:J730,J730)</f>
        <v>1</v>
      </c>
    </row>
    <row r="731" spans="1:11">
      <c r="A731" s="47">
        <v>723</v>
      </c>
      <c r="B731" s="47">
        <v>206</v>
      </c>
      <c r="C731" s="47"/>
      <c r="D731" s="47"/>
      <c r="E731" s="49"/>
      <c r="F731" s="49"/>
      <c r="G731" s="49" t="s">
        <v>1623</v>
      </c>
      <c r="H731" s="47" t="s">
        <v>1624</v>
      </c>
      <c r="I731" s="43" t="str">
        <f t="shared" si="44"/>
        <v>自制设备</v>
      </c>
      <c r="J731" s="44" t="str">
        <f t="shared" si="45"/>
        <v>自制设备 预混罐</v>
      </c>
      <c r="K731" s="43">
        <f>COUNTIF($J$2:J731,J731)</f>
        <v>1</v>
      </c>
    </row>
    <row r="732" spans="1:11">
      <c r="A732" s="47">
        <v>724</v>
      </c>
      <c r="B732" s="47">
        <v>207</v>
      </c>
      <c r="C732" s="47"/>
      <c r="D732" s="47"/>
      <c r="E732" s="49"/>
      <c r="F732" s="49"/>
      <c r="G732" s="49" t="s">
        <v>1625</v>
      </c>
      <c r="H732" s="47" t="s">
        <v>1626</v>
      </c>
      <c r="I732" s="43" t="str">
        <f t="shared" si="44"/>
        <v>自制设备</v>
      </c>
      <c r="J732" s="44" t="str">
        <f t="shared" si="45"/>
        <v>自制设备 水解塔MP</v>
      </c>
      <c r="K732" s="43">
        <f>COUNTIF($J$2:J732,J732)</f>
        <v>1</v>
      </c>
    </row>
    <row r="733" spans="1:11">
      <c r="A733" s="47">
        <v>725</v>
      </c>
      <c r="B733" s="47">
        <v>208</v>
      </c>
      <c r="C733" s="47"/>
      <c r="D733" s="47"/>
      <c r="E733" s="49"/>
      <c r="F733" s="49"/>
      <c r="G733" s="49" t="s">
        <v>1627</v>
      </c>
      <c r="H733" s="47" t="s">
        <v>1628</v>
      </c>
      <c r="I733" s="43" t="str">
        <f t="shared" si="44"/>
        <v>自制设备</v>
      </c>
      <c r="J733" s="44" t="str">
        <f t="shared" si="45"/>
        <v>自制设备 板片换热器</v>
      </c>
      <c r="K733" s="43">
        <f>COUNTIF($J$2:J733,J733)</f>
        <v>1</v>
      </c>
    </row>
    <row r="734" spans="1:11">
      <c r="A734" s="47">
        <v>726</v>
      </c>
      <c r="B734" s="47">
        <v>209</v>
      </c>
      <c r="C734" s="47"/>
      <c r="D734" s="47"/>
      <c r="E734" s="49"/>
      <c r="F734" s="49"/>
      <c r="G734" s="49" t="s">
        <v>1629</v>
      </c>
      <c r="H734" s="47" t="s">
        <v>1630</v>
      </c>
      <c r="I734" s="43" t="str">
        <f t="shared" si="44"/>
        <v>自制设备</v>
      </c>
      <c r="J734" s="44" t="str">
        <f t="shared" si="45"/>
        <v>自制设备 溶剂换热器</v>
      </c>
      <c r="K734" s="43">
        <f>COUNTIF($J$2:J734,J734)</f>
        <v>1</v>
      </c>
    </row>
    <row r="735" spans="1:11">
      <c r="A735" s="47">
        <v>727</v>
      </c>
      <c r="B735" s="47">
        <v>210</v>
      </c>
      <c r="C735" s="47"/>
      <c r="D735" s="47"/>
      <c r="E735" s="49"/>
      <c r="F735" s="49"/>
      <c r="G735" s="49" t="s">
        <v>1631</v>
      </c>
      <c r="H735" s="47" t="s">
        <v>1632</v>
      </c>
      <c r="I735" s="43" t="str">
        <f t="shared" si="44"/>
        <v>自制设备</v>
      </c>
      <c r="J735" s="44" t="str">
        <f t="shared" si="45"/>
        <v>自制设备 波节管换热器</v>
      </c>
      <c r="K735" s="43">
        <f>COUNTIF($J$2:J735,J735)</f>
        <v>1</v>
      </c>
    </row>
    <row r="736" spans="1:11">
      <c r="A736" s="47">
        <v>728</v>
      </c>
      <c r="B736" s="47">
        <v>211</v>
      </c>
      <c r="C736" s="47"/>
      <c r="D736" s="47"/>
      <c r="E736" s="49"/>
      <c r="F736" s="49"/>
      <c r="G736" s="49" t="s">
        <v>1633</v>
      </c>
      <c r="H736" s="47" t="s">
        <v>1634</v>
      </c>
      <c r="I736" s="43" t="str">
        <f t="shared" si="44"/>
        <v>自制设备</v>
      </c>
      <c r="J736" s="44" t="str">
        <f t="shared" si="45"/>
        <v>自制设备 列管换热器L</v>
      </c>
      <c r="K736" s="43">
        <f>COUNTIF($J$2:J736,J736)</f>
        <v>1</v>
      </c>
    </row>
    <row r="737" spans="1:11">
      <c r="A737" s="47">
        <v>729</v>
      </c>
      <c r="B737" s="47">
        <v>212</v>
      </c>
      <c r="C737" s="47"/>
      <c r="D737" s="47"/>
      <c r="E737" s="49"/>
      <c r="F737" s="49"/>
      <c r="G737" s="49" t="s">
        <v>1635</v>
      </c>
      <c r="H737" s="47" t="s">
        <v>1636</v>
      </c>
      <c r="I737" s="43" t="str">
        <f t="shared" si="44"/>
        <v>自制设备</v>
      </c>
      <c r="J737" s="44" t="str">
        <f t="shared" si="45"/>
        <v>自制设备 刮膜冷却器</v>
      </c>
      <c r="K737" s="43">
        <f>COUNTIF($J$2:J737,J737)</f>
        <v>1</v>
      </c>
    </row>
    <row r="738" spans="1:11">
      <c r="A738" s="47">
        <v>730</v>
      </c>
      <c r="B738" s="47">
        <v>213</v>
      </c>
      <c r="C738" s="47"/>
      <c r="D738" s="47"/>
      <c r="E738" s="49"/>
      <c r="F738" s="49"/>
      <c r="G738" s="49" t="s">
        <v>1637</v>
      </c>
      <c r="H738" s="47" t="s">
        <v>1638</v>
      </c>
      <c r="I738" s="43" t="str">
        <f t="shared" si="44"/>
        <v>自制设备</v>
      </c>
      <c r="J738" s="44" t="str">
        <f t="shared" si="45"/>
        <v>自制设备 盘管换热器</v>
      </c>
      <c r="K738" s="43">
        <f>COUNTIF($J$2:J738,J738)</f>
        <v>1</v>
      </c>
    </row>
    <row r="739" spans="1:11">
      <c r="A739" s="47">
        <v>731</v>
      </c>
      <c r="B739" s="47">
        <v>214</v>
      </c>
      <c r="C739" s="47"/>
      <c r="D739" s="47"/>
      <c r="E739" s="49"/>
      <c r="F739" s="49"/>
      <c r="G739" s="49" t="s">
        <v>1639</v>
      </c>
      <c r="H739" s="47" t="s">
        <v>1640</v>
      </c>
      <c r="I739" s="43" t="str">
        <f t="shared" si="44"/>
        <v>自制设备</v>
      </c>
      <c r="J739" s="44" t="str">
        <f t="shared" si="45"/>
        <v>自制设备 废水换热器</v>
      </c>
      <c r="K739" s="43">
        <f>COUNTIF($J$2:J739,J739)</f>
        <v>1</v>
      </c>
    </row>
    <row r="740" spans="1:11">
      <c r="A740" s="47">
        <v>732</v>
      </c>
      <c r="B740" s="47">
        <v>215</v>
      </c>
      <c r="C740" s="47"/>
      <c r="D740" s="47"/>
      <c r="E740" s="49"/>
      <c r="F740" s="49"/>
      <c r="G740" s="49" t="s">
        <v>1641</v>
      </c>
      <c r="H740" s="47" t="s">
        <v>1642</v>
      </c>
      <c r="I740" s="43" t="str">
        <f t="shared" si="44"/>
        <v>自制设备</v>
      </c>
      <c r="J740" s="44" t="str">
        <f t="shared" si="45"/>
        <v>自制设备 套管换热器</v>
      </c>
      <c r="K740" s="43">
        <f>COUNTIF($J$2:J740,J740)</f>
        <v>1</v>
      </c>
    </row>
    <row r="741" spans="1:11">
      <c r="A741" s="47">
        <v>733</v>
      </c>
      <c r="B741" s="47">
        <v>216</v>
      </c>
      <c r="C741" s="47"/>
      <c r="D741" s="47"/>
      <c r="E741" s="49"/>
      <c r="F741" s="49"/>
      <c r="G741" s="49" t="s">
        <v>1643</v>
      </c>
      <c r="H741" s="47" t="s">
        <v>1644</v>
      </c>
      <c r="I741" s="43" t="str">
        <f t="shared" si="44"/>
        <v>自制设备</v>
      </c>
      <c r="J741" s="44" t="str">
        <f t="shared" si="45"/>
        <v>自制设备 列管换热器W</v>
      </c>
      <c r="K741" s="43">
        <f>COUNTIF($J$2:J741,J741)</f>
        <v>1</v>
      </c>
    </row>
    <row r="742" spans="1:11">
      <c r="A742" s="47">
        <v>734</v>
      </c>
      <c r="B742" s="47">
        <v>217</v>
      </c>
      <c r="C742" s="47"/>
      <c r="D742" s="47"/>
      <c r="E742" s="49"/>
      <c r="F742" s="49"/>
      <c r="G742" s="49" t="s">
        <v>1645</v>
      </c>
      <c r="H742" s="47" t="s">
        <v>1646</v>
      </c>
      <c r="I742" s="43" t="str">
        <f t="shared" si="44"/>
        <v>自制设备</v>
      </c>
      <c r="J742" s="44" t="str">
        <f t="shared" si="45"/>
        <v>自制设备 油油换热器</v>
      </c>
      <c r="K742" s="43">
        <f>COUNTIF($J$2:J742,J742)</f>
        <v>1</v>
      </c>
    </row>
    <row r="743" spans="1:11">
      <c r="A743" s="47">
        <v>735</v>
      </c>
      <c r="B743" s="47">
        <v>218</v>
      </c>
      <c r="C743" s="47"/>
      <c r="D743" s="47"/>
      <c r="E743" s="49"/>
      <c r="F743" s="49"/>
      <c r="G743" s="49" t="s">
        <v>1647</v>
      </c>
      <c r="H743" s="47" t="s">
        <v>1648</v>
      </c>
      <c r="I743" s="43" t="str">
        <f t="shared" si="44"/>
        <v>自制设备</v>
      </c>
      <c r="J743" s="44" t="str">
        <f t="shared" si="45"/>
        <v>自制设备 污油罐</v>
      </c>
      <c r="K743" s="43">
        <f>COUNTIF($J$2:J743,J743)</f>
        <v>1</v>
      </c>
    </row>
    <row r="744" spans="1:11">
      <c r="A744" s="47">
        <v>736</v>
      </c>
      <c r="B744" s="47">
        <v>219</v>
      </c>
      <c r="C744" s="47"/>
      <c r="D744" s="47"/>
      <c r="E744" s="49"/>
      <c r="F744" s="49"/>
      <c r="G744" s="49" t="s">
        <v>1649</v>
      </c>
      <c r="H744" s="47" t="s">
        <v>1650</v>
      </c>
      <c r="I744" s="43" t="str">
        <f t="shared" si="44"/>
        <v>自制设备</v>
      </c>
      <c r="J744" s="44" t="str">
        <f t="shared" si="45"/>
        <v>自制设备 受压搅拌罐</v>
      </c>
      <c r="K744" s="43">
        <f>COUNTIF($J$2:J744,J744)</f>
        <v>1</v>
      </c>
    </row>
    <row r="745" spans="1:11">
      <c r="A745" s="47">
        <v>737</v>
      </c>
      <c r="B745" s="47">
        <v>220</v>
      </c>
      <c r="C745" s="47"/>
      <c r="D745" s="47"/>
      <c r="E745" s="49"/>
      <c r="F745" s="49"/>
      <c r="G745" s="49" t="s">
        <v>1651</v>
      </c>
      <c r="H745" s="47" t="s">
        <v>1652</v>
      </c>
      <c r="I745" s="43" t="str">
        <f t="shared" si="44"/>
        <v>自制设备</v>
      </c>
      <c r="J745" s="44" t="str">
        <f t="shared" si="45"/>
        <v>自制设备 常压搅拌罐</v>
      </c>
      <c r="K745" s="43">
        <f>COUNTIF($J$2:J745,J745)</f>
        <v>1</v>
      </c>
    </row>
    <row r="746" spans="1:11">
      <c r="A746" s="47">
        <v>738</v>
      </c>
      <c r="B746" s="47">
        <v>221</v>
      </c>
      <c r="C746" s="47"/>
      <c r="D746" s="47"/>
      <c r="E746" s="49"/>
      <c r="F746" s="49"/>
      <c r="G746" s="49" t="s">
        <v>1653</v>
      </c>
      <c r="H746" s="47" t="s">
        <v>1654</v>
      </c>
      <c r="I746" s="43" t="str">
        <f t="shared" si="44"/>
        <v>自制设备</v>
      </c>
      <c r="J746" s="44" t="str">
        <f t="shared" si="45"/>
        <v>自制设备 醇法浸出器</v>
      </c>
      <c r="K746" s="43">
        <f>COUNTIF($J$2:J746,J746)</f>
        <v>1</v>
      </c>
    </row>
    <row r="747" spans="1:11">
      <c r="A747" s="47">
        <v>739</v>
      </c>
      <c r="B747" s="47">
        <v>222</v>
      </c>
      <c r="C747" s="47"/>
      <c r="D747" s="47"/>
      <c r="E747" s="49"/>
      <c r="F747" s="49"/>
      <c r="G747" s="49" t="s">
        <v>1655</v>
      </c>
      <c r="H747" s="47" t="s">
        <v>1656</v>
      </c>
      <c r="I747" s="43" t="str">
        <f t="shared" si="44"/>
        <v>自制设备</v>
      </c>
      <c r="J747" s="44" t="str">
        <f t="shared" si="45"/>
        <v>自制设备 浸膏浸出器</v>
      </c>
      <c r="K747" s="43">
        <f>COUNTIF($J$2:J747,J747)</f>
        <v>1</v>
      </c>
    </row>
    <row r="748" spans="1:11">
      <c r="A748" s="47">
        <v>740</v>
      </c>
      <c r="B748" s="47">
        <v>223</v>
      </c>
      <c r="C748" s="47"/>
      <c r="D748" s="47"/>
      <c r="E748" s="49"/>
      <c r="F748" s="49"/>
      <c r="G748" s="49" t="s">
        <v>1657</v>
      </c>
      <c r="H748" s="47" t="s">
        <v>1658</v>
      </c>
      <c r="I748" s="43" t="str">
        <f t="shared" si="44"/>
        <v>自制设备</v>
      </c>
      <c r="J748" s="44" t="str">
        <f t="shared" si="45"/>
        <v>自制设备 C型浸出器</v>
      </c>
      <c r="K748" s="43">
        <f>COUNTIF($J$2:J748,J748)</f>
        <v>1</v>
      </c>
    </row>
    <row r="749" spans="1:11">
      <c r="A749" s="47">
        <v>741</v>
      </c>
      <c r="B749" s="47">
        <v>224</v>
      </c>
      <c r="C749" s="47"/>
      <c r="D749" s="47"/>
      <c r="E749" s="49"/>
      <c r="F749" s="49"/>
      <c r="G749" s="49" t="s">
        <v>1659</v>
      </c>
      <c r="H749" s="47" t="s">
        <v>1660</v>
      </c>
      <c r="I749" s="43" t="str">
        <f t="shared" si="44"/>
        <v>自制设备</v>
      </c>
      <c r="J749" s="44" t="str">
        <f t="shared" si="45"/>
        <v>自制设备 E型浸出器</v>
      </c>
      <c r="K749" s="43">
        <f>COUNTIF($J$2:J749,J749)</f>
        <v>1</v>
      </c>
    </row>
    <row r="750" spans="1:11">
      <c r="A750" s="47">
        <v>742</v>
      </c>
      <c r="B750" s="47">
        <v>225</v>
      </c>
      <c r="C750" s="47"/>
      <c r="D750" s="47"/>
      <c r="E750" s="49"/>
      <c r="F750" s="49"/>
      <c r="G750" s="49" t="s">
        <v>1661</v>
      </c>
      <c r="H750" s="47" t="s">
        <v>1662</v>
      </c>
      <c r="I750" s="43" t="str">
        <f t="shared" si="44"/>
        <v>自制设备</v>
      </c>
      <c r="J750" s="44" t="str">
        <f t="shared" si="45"/>
        <v>自制设备 脱木质素器</v>
      </c>
      <c r="K750" s="43">
        <f>COUNTIF($J$2:J750,J750)</f>
        <v>1</v>
      </c>
    </row>
    <row r="751" spans="1:11">
      <c r="A751" s="47">
        <v>743</v>
      </c>
      <c r="B751" s="47">
        <v>226</v>
      </c>
      <c r="C751" s="47"/>
      <c r="D751" s="47"/>
      <c r="E751" s="49"/>
      <c r="F751" s="49"/>
      <c r="G751" s="49" t="s">
        <v>1663</v>
      </c>
      <c r="H751" s="47" t="s">
        <v>1664</v>
      </c>
      <c r="I751" s="43" t="str">
        <f t="shared" si="44"/>
        <v>自制设备</v>
      </c>
      <c r="J751" s="44" t="str">
        <f t="shared" si="45"/>
        <v>自制设备 油砂浸出器</v>
      </c>
      <c r="K751" s="43">
        <f>COUNTIF($J$2:J751,J751)</f>
        <v>1</v>
      </c>
    </row>
    <row r="752" spans="1:11">
      <c r="A752" s="47">
        <v>744</v>
      </c>
      <c r="B752" s="47">
        <v>227</v>
      </c>
      <c r="C752" s="47"/>
      <c r="D752" s="47"/>
      <c r="E752" s="49"/>
      <c r="F752" s="49"/>
      <c r="G752" s="49" t="s">
        <v>1665</v>
      </c>
      <c r="H752" s="47" t="s">
        <v>1666</v>
      </c>
      <c r="I752" s="43" t="str">
        <f t="shared" si="44"/>
        <v>自制设备</v>
      </c>
      <c r="J752" s="44" t="str">
        <f t="shared" si="45"/>
        <v>自制设备 箱链浸出器</v>
      </c>
      <c r="K752" s="43">
        <f>COUNTIF($J$2:J752,J752)</f>
        <v>1</v>
      </c>
    </row>
    <row r="753" spans="1:11">
      <c r="A753" s="47">
        <v>745</v>
      </c>
      <c r="B753" s="47">
        <v>228</v>
      </c>
      <c r="C753" s="47"/>
      <c r="D753" s="47"/>
      <c r="E753" s="49"/>
      <c r="F753" s="49"/>
      <c r="G753" s="49" t="s">
        <v>1667</v>
      </c>
      <c r="H753" s="47" t="s">
        <v>1668</v>
      </c>
      <c r="I753" s="43" t="str">
        <f t="shared" si="44"/>
        <v>自制设备</v>
      </c>
      <c r="J753" s="44" t="str">
        <f t="shared" si="45"/>
        <v>自制设备 E型浓缩蛋白浸出器</v>
      </c>
      <c r="K753" s="43">
        <f>COUNTIF($J$2:J753,J753)</f>
        <v>1</v>
      </c>
    </row>
    <row r="754" spans="1:11">
      <c r="A754" s="47">
        <v>746</v>
      </c>
      <c r="B754" s="47">
        <v>229</v>
      </c>
      <c r="C754" s="47"/>
      <c r="D754" s="47"/>
      <c r="E754" s="49"/>
      <c r="F754" s="49"/>
      <c r="G754" s="49" t="s">
        <v>1669</v>
      </c>
      <c r="H754" s="47" t="s">
        <v>1670</v>
      </c>
      <c r="I754" s="43" t="str">
        <f t="shared" si="44"/>
        <v>自制设备</v>
      </c>
      <c r="J754" s="44" t="str">
        <f t="shared" si="45"/>
        <v>自制设备 板式结晶罐</v>
      </c>
      <c r="K754" s="43">
        <f>COUNTIF($J$2:J754,J754)</f>
        <v>1</v>
      </c>
    </row>
    <row r="755" spans="1:11">
      <c r="A755" s="47">
        <v>747</v>
      </c>
      <c r="B755" s="47">
        <v>230</v>
      </c>
      <c r="C755" s="47"/>
      <c r="D755" s="47"/>
      <c r="E755" s="49"/>
      <c r="F755" s="49"/>
      <c r="G755" s="49" t="s">
        <v>1671</v>
      </c>
      <c r="H755" s="47" t="s">
        <v>1672</v>
      </c>
      <c r="I755" s="43" t="str">
        <f t="shared" si="44"/>
        <v>自制设备</v>
      </c>
      <c r="J755" s="44" t="str">
        <f t="shared" si="45"/>
        <v>自制设备 结晶罐</v>
      </c>
      <c r="K755" s="43">
        <f>COUNTIF($J$2:J755,J755)</f>
        <v>1</v>
      </c>
    </row>
    <row r="756" spans="1:11">
      <c r="A756" s="47">
        <v>748</v>
      </c>
      <c r="B756" s="47">
        <v>231</v>
      </c>
      <c r="C756" s="47"/>
      <c r="D756" s="47"/>
      <c r="E756" s="49"/>
      <c r="F756" s="49"/>
      <c r="G756" s="49" t="s">
        <v>1673</v>
      </c>
      <c r="H756" s="47" t="s">
        <v>1674</v>
      </c>
      <c r="I756" s="43" t="str">
        <f t="shared" si="44"/>
        <v>自制设备</v>
      </c>
      <c r="J756" s="44" t="str">
        <f t="shared" si="45"/>
        <v>自制设备 养晶罐</v>
      </c>
      <c r="K756" s="43">
        <f>COUNTIF($J$2:J756,J756)</f>
        <v>1</v>
      </c>
    </row>
    <row r="757" spans="1:11">
      <c r="A757" s="47">
        <v>749</v>
      </c>
      <c r="B757" s="47">
        <v>232</v>
      </c>
      <c r="C757" s="47"/>
      <c r="D757" s="47"/>
      <c r="E757" s="49"/>
      <c r="F757" s="49"/>
      <c r="G757" s="49" t="s">
        <v>1675</v>
      </c>
      <c r="H757" s="47" t="s">
        <v>1676</v>
      </c>
      <c r="I757" s="43" t="str">
        <f t="shared" si="44"/>
        <v>自制设备</v>
      </c>
      <c r="J757" s="44" t="str">
        <f t="shared" si="45"/>
        <v>自制设备 精馏塔B</v>
      </c>
      <c r="K757" s="43">
        <f>COUNTIF($J$2:J757,J757)</f>
        <v>1</v>
      </c>
    </row>
    <row r="758" spans="1:11">
      <c r="A758" s="47">
        <v>750</v>
      </c>
      <c r="B758" s="47">
        <v>233</v>
      </c>
      <c r="C758" s="47"/>
      <c r="D758" s="47"/>
      <c r="E758" s="49"/>
      <c r="F758" s="49"/>
      <c r="G758" s="49" t="s">
        <v>1677</v>
      </c>
      <c r="H758" s="47" t="s">
        <v>1678</v>
      </c>
      <c r="I758" s="43" t="str">
        <f t="shared" si="44"/>
        <v>自制设备</v>
      </c>
      <c r="J758" s="44" t="str">
        <f t="shared" si="45"/>
        <v>自制设备 脂肪酸精馏塔</v>
      </c>
      <c r="K758" s="43">
        <f>COUNTIF($J$2:J758,J758)</f>
        <v>1</v>
      </c>
    </row>
    <row r="759" spans="1:11">
      <c r="A759" s="47">
        <v>751</v>
      </c>
      <c r="B759" s="47">
        <v>234</v>
      </c>
      <c r="C759" s="47"/>
      <c r="D759" s="47"/>
      <c r="E759" s="49"/>
      <c r="F759" s="49"/>
      <c r="G759" s="49" t="s">
        <v>1679</v>
      </c>
      <c r="H759" s="47" t="s">
        <v>1680</v>
      </c>
      <c r="I759" s="43" t="str">
        <f t="shared" si="44"/>
        <v>自制设备</v>
      </c>
      <c r="J759" s="44" t="str">
        <f t="shared" si="45"/>
        <v>自制设备 甘油精馏塔</v>
      </c>
      <c r="K759" s="43">
        <f>COUNTIF($J$2:J759,J759)</f>
        <v>1</v>
      </c>
    </row>
    <row r="760" spans="1:11">
      <c r="A760" s="47">
        <v>752</v>
      </c>
      <c r="B760" s="47">
        <v>235</v>
      </c>
      <c r="C760" s="47"/>
      <c r="D760" s="47"/>
      <c r="E760" s="49"/>
      <c r="F760" s="49"/>
      <c r="G760" s="49" t="s">
        <v>1681</v>
      </c>
      <c r="H760" s="47" t="s">
        <v>1682</v>
      </c>
      <c r="I760" s="43" t="str">
        <f t="shared" si="44"/>
        <v>自制设备</v>
      </c>
      <c r="J760" s="44" t="str">
        <f t="shared" si="45"/>
        <v>自制设备 精馏塔P</v>
      </c>
      <c r="K760" s="43">
        <f>COUNTIF($J$2:J760,J760)</f>
        <v>1</v>
      </c>
    </row>
    <row r="761" spans="1:11">
      <c r="A761" s="47">
        <v>753</v>
      </c>
      <c r="B761" s="47">
        <v>236</v>
      </c>
      <c r="C761" s="47"/>
      <c r="D761" s="47"/>
      <c r="E761" s="49"/>
      <c r="F761" s="49"/>
      <c r="G761" s="49" t="s">
        <v>1683</v>
      </c>
      <c r="H761" s="47" t="s">
        <v>1684</v>
      </c>
      <c r="I761" s="43" t="str">
        <f t="shared" si="44"/>
        <v>自制设备</v>
      </c>
      <c r="J761" s="44" t="str">
        <f t="shared" si="45"/>
        <v>自制设备 加热器L</v>
      </c>
      <c r="K761" s="43">
        <f>COUNTIF($J$2:J761,J761)</f>
        <v>1</v>
      </c>
    </row>
    <row r="762" spans="1:11">
      <c r="A762" s="47">
        <v>754</v>
      </c>
      <c r="B762" s="47">
        <v>237</v>
      </c>
      <c r="C762" s="47"/>
      <c r="D762" s="47"/>
      <c r="E762" s="49"/>
      <c r="F762" s="49"/>
      <c r="G762" s="49" t="s">
        <v>1685</v>
      </c>
      <c r="H762" s="47" t="s">
        <v>1686</v>
      </c>
      <c r="I762" s="43" t="str">
        <f t="shared" si="44"/>
        <v>自制设备</v>
      </c>
      <c r="J762" s="44" t="str">
        <f t="shared" si="45"/>
        <v>自制设备 蒸汽过热器</v>
      </c>
      <c r="K762" s="43">
        <f>COUNTIF($J$2:J762,J762)</f>
        <v>1</v>
      </c>
    </row>
    <row r="763" spans="1:11">
      <c r="A763" s="47">
        <v>755</v>
      </c>
      <c r="B763" s="47">
        <v>238</v>
      </c>
      <c r="C763" s="47"/>
      <c r="D763" s="47"/>
      <c r="E763" s="49"/>
      <c r="F763" s="49"/>
      <c r="G763" s="49" t="s">
        <v>1687</v>
      </c>
      <c r="H763" s="47" t="s">
        <v>1688</v>
      </c>
      <c r="I763" s="43" t="str">
        <f t="shared" si="44"/>
        <v>自制设备</v>
      </c>
      <c r="J763" s="44" t="str">
        <f t="shared" si="45"/>
        <v>自制设备 列管加热器W</v>
      </c>
      <c r="K763" s="43">
        <f>COUNTIF($J$2:J763,J763)</f>
        <v>1</v>
      </c>
    </row>
    <row r="764" spans="1:11">
      <c r="A764" s="47">
        <v>756</v>
      </c>
      <c r="B764" s="47">
        <v>239</v>
      </c>
      <c r="C764" s="47"/>
      <c r="D764" s="47"/>
      <c r="E764" s="49"/>
      <c r="F764" s="49"/>
      <c r="G764" s="49" t="s">
        <v>1689</v>
      </c>
      <c r="H764" s="47" t="s">
        <v>1690</v>
      </c>
      <c r="I764" s="43" t="str">
        <f t="shared" si="44"/>
        <v>自制设备</v>
      </c>
      <c r="J764" s="44" t="str">
        <f t="shared" si="45"/>
        <v>自制设备 碱罐</v>
      </c>
      <c r="K764" s="43">
        <f>COUNTIF($J$2:J764,J764)</f>
        <v>1</v>
      </c>
    </row>
    <row r="765" spans="1:11">
      <c r="A765" s="47">
        <v>757</v>
      </c>
      <c r="B765" s="47">
        <v>240</v>
      </c>
      <c r="C765" s="47"/>
      <c r="D765" s="47"/>
      <c r="E765" s="49"/>
      <c r="F765" s="49"/>
      <c r="G765" s="49" t="s">
        <v>1691</v>
      </c>
      <c r="H765" s="47" t="s">
        <v>1692</v>
      </c>
      <c r="I765" s="43" t="str">
        <f t="shared" si="44"/>
        <v>自制设备</v>
      </c>
      <c r="J765" s="44" t="str">
        <f t="shared" si="45"/>
        <v>自制设备 解析塔</v>
      </c>
      <c r="K765" s="43">
        <f>COUNTIF($J$2:J765,J765)</f>
        <v>1</v>
      </c>
    </row>
    <row r="766" spans="1:11">
      <c r="A766" s="47">
        <v>758</v>
      </c>
      <c r="B766" s="47">
        <v>241</v>
      </c>
      <c r="C766" s="47"/>
      <c r="D766" s="47"/>
      <c r="E766" s="49"/>
      <c r="F766" s="49"/>
      <c r="G766" s="49" t="s">
        <v>1693</v>
      </c>
      <c r="H766" s="47" t="s">
        <v>1694</v>
      </c>
      <c r="I766" s="43" t="str">
        <f t="shared" si="44"/>
        <v>自制设备</v>
      </c>
      <c r="J766" s="44" t="str">
        <f t="shared" si="45"/>
        <v>自制设备 空化反应器KB</v>
      </c>
      <c r="K766" s="43">
        <f>COUNTIF($J$2:J766,J766)</f>
        <v>1</v>
      </c>
    </row>
    <row r="767" spans="1:11">
      <c r="A767" s="47">
        <v>759</v>
      </c>
      <c r="B767" s="47">
        <v>242</v>
      </c>
      <c r="C767" s="47"/>
      <c r="D767" s="47"/>
      <c r="E767" s="49"/>
      <c r="F767" s="49"/>
      <c r="G767" s="49" t="s">
        <v>1695</v>
      </c>
      <c r="H767" s="47" t="s">
        <v>1696</v>
      </c>
      <c r="I767" s="43" t="str">
        <f t="shared" si="44"/>
        <v>自制设备</v>
      </c>
      <c r="J767" s="44" t="str">
        <f t="shared" si="45"/>
        <v>自制设备 油罐</v>
      </c>
      <c r="K767" s="43">
        <f>COUNTIF($J$2:J767,J767)</f>
        <v>1</v>
      </c>
    </row>
    <row r="768" spans="1:11">
      <c r="A768" s="47">
        <v>760</v>
      </c>
      <c r="B768" s="47">
        <v>243</v>
      </c>
      <c r="C768" s="47"/>
      <c r="D768" s="47"/>
      <c r="E768" s="49"/>
      <c r="F768" s="49"/>
      <c r="G768" s="49" t="s">
        <v>1697</v>
      </c>
      <c r="H768" s="47" t="s">
        <v>1698</v>
      </c>
      <c r="I768" s="43" t="str">
        <f t="shared" si="44"/>
        <v>自制设备</v>
      </c>
      <c r="J768" s="44" t="str">
        <f t="shared" si="45"/>
        <v>自制设备 常压暂存罐</v>
      </c>
      <c r="K768" s="43">
        <f>COUNTIF($J$2:J768,J768)</f>
        <v>1</v>
      </c>
    </row>
    <row r="769" spans="1:11">
      <c r="A769" s="47">
        <v>761</v>
      </c>
      <c r="B769" s="47">
        <v>244</v>
      </c>
      <c r="C769" s="47"/>
      <c r="D769" s="47"/>
      <c r="E769" s="49"/>
      <c r="F769" s="49"/>
      <c r="G769" s="49" t="s">
        <v>1699</v>
      </c>
      <c r="H769" s="47" t="s">
        <v>1700</v>
      </c>
      <c r="I769" s="43" t="str">
        <f t="shared" si="44"/>
        <v>自制设备</v>
      </c>
      <c r="J769" s="44" t="str">
        <f t="shared" si="45"/>
        <v>自制设备 油冷却器</v>
      </c>
      <c r="K769" s="43">
        <f>COUNTIF($J$2:J769,J769)</f>
        <v>1</v>
      </c>
    </row>
    <row r="770" spans="1:11">
      <c r="A770" s="47">
        <v>762</v>
      </c>
      <c r="B770" s="47">
        <v>245</v>
      </c>
      <c r="C770" s="47"/>
      <c r="D770" s="47"/>
      <c r="E770" s="49"/>
      <c r="F770" s="49"/>
      <c r="G770" s="49" t="s">
        <v>1701</v>
      </c>
      <c r="H770" s="47" t="s">
        <v>1702</v>
      </c>
      <c r="I770" s="43" t="str">
        <f t="shared" si="44"/>
        <v>自制设备</v>
      </c>
      <c r="J770" s="44" t="str">
        <f t="shared" si="45"/>
        <v>自制设备 地下溶剂罐</v>
      </c>
      <c r="K770" s="43">
        <f>COUNTIF($J$2:J770,J770)</f>
        <v>1</v>
      </c>
    </row>
    <row r="771" spans="1:11">
      <c r="A771" s="47">
        <v>763</v>
      </c>
      <c r="B771" s="47">
        <v>246</v>
      </c>
      <c r="C771" s="47"/>
      <c r="D771" s="47"/>
      <c r="E771" s="49"/>
      <c r="F771" s="49"/>
      <c r="G771" s="49" t="s">
        <v>1703</v>
      </c>
      <c r="H771" s="47" t="s">
        <v>1704</v>
      </c>
      <c r="I771" s="43" t="str">
        <f t="shared" si="44"/>
        <v>自制设备</v>
      </c>
      <c r="J771" s="44" t="str">
        <f t="shared" si="45"/>
        <v>自制设备 埋地罐</v>
      </c>
      <c r="K771" s="43">
        <f>COUNTIF($J$2:J771,J771)</f>
        <v>1</v>
      </c>
    </row>
    <row r="772" spans="1:11">
      <c r="A772" s="47">
        <v>764</v>
      </c>
      <c r="B772" s="47">
        <v>247</v>
      </c>
      <c r="C772" s="47"/>
      <c r="D772" s="47"/>
      <c r="E772" s="49"/>
      <c r="F772" s="49"/>
      <c r="G772" s="49" t="s">
        <v>1705</v>
      </c>
      <c r="H772" s="47" t="s">
        <v>1706</v>
      </c>
      <c r="I772" s="43" t="str">
        <f t="shared" si="44"/>
        <v>自制设备</v>
      </c>
      <c r="J772" s="44" t="str">
        <f t="shared" si="45"/>
        <v>自制设备 混合油暂存罐</v>
      </c>
      <c r="K772" s="43">
        <f>COUNTIF($J$2:J772,J772)</f>
        <v>1</v>
      </c>
    </row>
    <row r="773" spans="1:11">
      <c r="A773" s="47">
        <v>765</v>
      </c>
      <c r="B773" s="47">
        <v>248</v>
      </c>
      <c r="C773" s="47"/>
      <c r="D773" s="47"/>
      <c r="E773" s="49"/>
      <c r="F773" s="49"/>
      <c r="G773" s="49" t="s">
        <v>1707</v>
      </c>
      <c r="H773" s="47" t="s">
        <v>1708</v>
      </c>
      <c r="I773" s="43" t="str">
        <f t="shared" si="44"/>
        <v>自制设备</v>
      </c>
      <c r="J773" s="44" t="str">
        <f t="shared" si="45"/>
        <v>自制设备 灭活熟化机</v>
      </c>
      <c r="K773" s="43">
        <f>COUNTIF($J$2:J773,J773)</f>
        <v>1</v>
      </c>
    </row>
    <row r="774" spans="1:11">
      <c r="A774" s="47">
        <v>766</v>
      </c>
      <c r="B774" s="47">
        <v>249</v>
      </c>
      <c r="C774" s="47"/>
      <c r="D774" s="47"/>
      <c r="E774" s="49"/>
      <c r="F774" s="49"/>
      <c r="G774" s="49" t="s">
        <v>1709</v>
      </c>
      <c r="H774" s="47" t="s">
        <v>1710</v>
      </c>
      <c r="I774" s="43" t="str">
        <f t="shared" si="44"/>
        <v>自制设备</v>
      </c>
      <c r="J774" s="44" t="str">
        <f t="shared" si="45"/>
        <v>自制设备 混合冷凝器AR</v>
      </c>
      <c r="K774" s="43">
        <f>COUNTIF($J$2:J774,J774)</f>
        <v>1</v>
      </c>
    </row>
    <row r="775" spans="1:11">
      <c r="A775" s="47">
        <v>767</v>
      </c>
      <c r="B775" s="47">
        <v>250</v>
      </c>
      <c r="C775" s="47"/>
      <c r="D775" s="47"/>
      <c r="E775" s="49"/>
      <c r="F775" s="49"/>
      <c r="G775" s="49" t="s">
        <v>1711</v>
      </c>
      <c r="H775" s="47" t="s">
        <v>1712</v>
      </c>
      <c r="I775" s="43" t="str">
        <f t="shared" si="44"/>
        <v>自制设备</v>
      </c>
      <c r="J775" s="44" t="str">
        <f t="shared" si="45"/>
        <v>自制设备 废气吸收塔</v>
      </c>
      <c r="K775" s="43">
        <f>COUNTIF($J$2:J775,J775)</f>
        <v>1</v>
      </c>
    </row>
    <row r="776" spans="1:11">
      <c r="A776" s="47">
        <v>768</v>
      </c>
      <c r="B776" s="47">
        <v>251</v>
      </c>
      <c r="C776" s="47"/>
      <c r="D776" s="47"/>
      <c r="E776" s="49"/>
      <c r="F776" s="49"/>
      <c r="G776" s="49" t="s">
        <v>1713</v>
      </c>
      <c r="H776" s="47" t="s">
        <v>1714</v>
      </c>
      <c r="I776" s="43" t="str">
        <f t="shared" si="44"/>
        <v>自制设备</v>
      </c>
      <c r="J776" s="44" t="str">
        <f t="shared" si="45"/>
        <v>自制设备 脂肪酸捕集器</v>
      </c>
      <c r="K776" s="43">
        <f>COUNTIF($J$2:J776,J776)</f>
        <v>1</v>
      </c>
    </row>
    <row r="777" spans="1:11">
      <c r="A777" s="47">
        <v>769</v>
      </c>
      <c r="B777" s="47">
        <v>252</v>
      </c>
      <c r="C777" s="47"/>
      <c r="D777" s="47"/>
      <c r="E777" s="49"/>
      <c r="F777" s="49"/>
      <c r="G777" s="49" t="s">
        <v>1715</v>
      </c>
      <c r="H777" s="47" t="s">
        <v>1716</v>
      </c>
      <c r="I777" s="43" t="str">
        <f t="shared" si="44"/>
        <v>自制设备</v>
      </c>
      <c r="J777" s="44" t="str">
        <f t="shared" si="45"/>
        <v>自制设备 冻结冷凝器L</v>
      </c>
      <c r="K777" s="43">
        <f>COUNTIF($J$2:J777,J777)</f>
        <v>1</v>
      </c>
    </row>
    <row r="778" spans="1:11">
      <c r="A778" s="47">
        <v>770</v>
      </c>
      <c r="B778" s="47">
        <v>253</v>
      </c>
      <c r="C778" s="47"/>
      <c r="D778" s="47"/>
      <c r="E778" s="49"/>
      <c r="F778" s="49"/>
      <c r="G778" s="49" t="s">
        <v>1717</v>
      </c>
      <c r="H778" s="47" t="s">
        <v>1718</v>
      </c>
      <c r="I778" s="43" t="str">
        <f t="shared" si="44"/>
        <v>自制设备</v>
      </c>
      <c r="J778" s="44" t="str">
        <f t="shared" si="45"/>
        <v>自制设备 冻结冷凝器W</v>
      </c>
      <c r="K778" s="43">
        <f>COUNTIF($J$2:J778,J778)</f>
        <v>1</v>
      </c>
    </row>
    <row r="779" spans="1:11">
      <c r="A779" s="47">
        <v>771</v>
      </c>
      <c r="B779" s="47">
        <v>254</v>
      </c>
      <c r="C779" s="47"/>
      <c r="D779" s="47"/>
      <c r="E779" s="49"/>
      <c r="F779" s="49"/>
      <c r="G779" s="49" t="s">
        <v>1719</v>
      </c>
      <c r="H779" s="47" t="s">
        <v>1720</v>
      </c>
      <c r="I779" s="43" t="str">
        <f t="shared" si="44"/>
        <v>自制设备</v>
      </c>
      <c r="J779" s="44" t="str">
        <f t="shared" si="45"/>
        <v>自制设备 DT冷凝器</v>
      </c>
      <c r="K779" s="43">
        <f>COUNTIF($J$2:J779,J779)</f>
        <v>1</v>
      </c>
    </row>
    <row r="780" spans="1:11">
      <c r="A780" s="47">
        <v>772</v>
      </c>
      <c r="B780" s="47">
        <v>255</v>
      </c>
      <c r="C780" s="47"/>
      <c r="D780" s="47"/>
      <c r="E780" s="49"/>
      <c r="F780" s="49"/>
      <c r="G780" s="49" t="s">
        <v>1721</v>
      </c>
      <c r="H780" s="47" t="s">
        <v>1722</v>
      </c>
      <c r="I780" s="43" t="str">
        <f t="shared" si="44"/>
        <v>自制设备</v>
      </c>
      <c r="J780" s="44" t="str">
        <f t="shared" si="45"/>
        <v>自制设备 汽提冷凝器</v>
      </c>
      <c r="K780" s="43">
        <f>COUNTIF($J$2:J780,J780)</f>
        <v>1</v>
      </c>
    </row>
    <row r="781" spans="1:11">
      <c r="A781" s="47">
        <v>773</v>
      </c>
      <c r="B781" s="47">
        <v>256</v>
      </c>
      <c r="C781" s="47"/>
      <c r="D781" s="47"/>
      <c r="E781" s="49"/>
      <c r="F781" s="49"/>
      <c r="G781" s="49" t="s">
        <v>1723</v>
      </c>
      <c r="H781" s="47" t="s">
        <v>1724</v>
      </c>
      <c r="I781" s="43" t="str">
        <f t="shared" si="44"/>
        <v>自制设备</v>
      </c>
      <c r="J781" s="44" t="str">
        <f t="shared" si="45"/>
        <v>自制设备 蒸发冷凝器</v>
      </c>
      <c r="K781" s="43">
        <f>COUNTIF($J$2:J781,J781)</f>
        <v>1</v>
      </c>
    </row>
    <row r="782" spans="1:11">
      <c r="A782" s="47">
        <v>774</v>
      </c>
      <c r="B782" s="47">
        <v>257</v>
      </c>
      <c r="C782" s="47"/>
      <c r="D782" s="47"/>
      <c r="E782" s="49"/>
      <c r="F782" s="49"/>
      <c r="G782" s="49" t="s">
        <v>1725</v>
      </c>
      <c r="H782" s="47" t="s">
        <v>1726</v>
      </c>
      <c r="I782" s="43" t="str">
        <f t="shared" si="44"/>
        <v>自制设备</v>
      </c>
      <c r="J782" s="44" t="str">
        <f t="shared" si="45"/>
        <v>自制设备 尾气冷凝器</v>
      </c>
      <c r="K782" s="43">
        <f>COUNTIF($J$2:J782,J782)</f>
        <v>1</v>
      </c>
    </row>
    <row r="783" spans="1:11">
      <c r="A783" s="47">
        <v>775</v>
      </c>
      <c r="B783" s="47">
        <v>258</v>
      </c>
      <c r="C783" s="47"/>
      <c r="D783" s="47"/>
      <c r="E783" s="49"/>
      <c r="F783" s="49"/>
      <c r="G783" s="49" t="s">
        <v>1727</v>
      </c>
      <c r="H783" s="47" t="s">
        <v>1728</v>
      </c>
      <c r="I783" s="43" t="str">
        <f t="shared" si="44"/>
        <v>自制设备</v>
      </c>
      <c r="J783" s="44" t="str">
        <f t="shared" si="45"/>
        <v>自制设备 浸出器冷凝器</v>
      </c>
      <c r="K783" s="43">
        <f>COUNTIF($J$2:J783,J783)</f>
        <v>1</v>
      </c>
    </row>
    <row r="784" spans="1:11">
      <c r="A784" s="47">
        <v>776</v>
      </c>
      <c r="B784" s="47">
        <v>259</v>
      </c>
      <c r="C784" s="47"/>
      <c r="D784" s="47"/>
      <c r="E784" s="49"/>
      <c r="F784" s="49"/>
      <c r="G784" s="49" t="s">
        <v>1729</v>
      </c>
      <c r="H784" s="47" t="s">
        <v>1730</v>
      </c>
      <c r="I784" s="43" t="str">
        <f t="shared" si="44"/>
        <v>自制设备</v>
      </c>
      <c r="J784" s="44" t="str">
        <f t="shared" si="45"/>
        <v>自制设备 列管冷凝器L</v>
      </c>
      <c r="K784" s="43">
        <f>COUNTIF($J$2:J784,J784)</f>
        <v>1</v>
      </c>
    </row>
    <row r="785" spans="1:11">
      <c r="A785" s="47">
        <v>777</v>
      </c>
      <c r="B785" s="47">
        <v>260</v>
      </c>
      <c r="C785" s="47"/>
      <c r="D785" s="47"/>
      <c r="E785" s="49"/>
      <c r="F785" s="49"/>
      <c r="G785" s="49" t="s">
        <v>1731</v>
      </c>
      <c r="H785" s="47" t="s">
        <v>1732</v>
      </c>
      <c r="I785" s="43" t="str">
        <f t="shared" si="44"/>
        <v>自制设备</v>
      </c>
      <c r="J785" s="44" t="str">
        <f t="shared" si="45"/>
        <v>自制设备 列管冷凝器W</v>
      </c>
      <c r="K785" s="43">
        <f>COUNTIF($J$2:J785,J785)</f>
        <v>1</v>
      </c>
    </row>
    <row r="786" spans="1:11">
      <c r="A786" s="47">
        <v>778</v>
      </c>
      <c r="B786" s="47">
        <v>261</v>
      </c>
      <c r="C786" s="47"/>
      <c r="D786" s="47"/>
      <c r="E786" s="49"/>
      <c r="F786" s="49"/>
      <c r="G786" s="49" t="s">
        <v>1733</v>
      </c>
      <c r="H786" s="47" t="s">
        <v>1734</v>
      </c>
      <c r="I786" s="43" t="str">
        <f t="shared" si="44"/>
        <v>自制设备</v>
      </c>
      <c r="J786" s="44" t="str">
        <f t="shared" si="45"/>
        <v>自制设备 氢化反应器AG</v>
      </c>
      <c r="K786" s="43">
        <f>COUNTIF($J$2:J786,J786)</f>
        <v>1</v>
      </c>
    </row>
    <row r="787" spans="1:11">
      <c r="A787" s="47">
        <v>779</v>
      </c>
      <c r="B787" s="47">
        <v>262</v>
      </c>
      <c r="C787" s="47"/>
      <c r="D787" s="47"/>
      <c r="E787" s="49"/>
      <c r="F787" s="49"/>
      <c r="G787" s="49" t="s">
        <v>1735</v>
      </c>
      <c r="H787" s="47" t="s">
        <v>1736</v>
      </c>
      <c r="I787" s="43" t="str">
        <f t="shared" si="44"/>
        <v>自制设备</v>
      </c>
      <c r="J787" s="44" t="str">
        <f t="shared" si="45"/>
        <v>自制设备 氢化塔T</v>
      </c>
      <c r="K787" s="43">
        <f>COUNTIF($J$2:J787,J787)</f>
        <v>1</v>
      </c>
    </row>
    <row r="788" spans="1:11">
      <c r="A788" s="47">
        <v>780</v>
      </c>
      <c r="B788" s="47">
        <v>263</v>
      </c>
      <c r="C788" s="47"/>
      <c r="D788" s="47"/>
      <c r="E788" s="49"/>
      <c r="F788" s="49"/>
      <c r="G788" s="49" t="s">
        <v>1737</v>
      </c>
      <c r="H788" s="47" t="s">
        <v>1738</v>
      </c>
      <c r="I788" s="43" t="str">
        <f t="shared" si="44"/>
        <v>自制设备</v>
      </c>
      <c r="J788" s="44" t="str">
        <f t="shared" si="45"/>
        <v>自制设备 碟盘汽提塔</v>
      </c>
      <c r="K788" s="43">
        <f>COUNTIF($J$2:J788,J788)</f>
        <v>1</v>
      </c>
    </row>
    <row r="789" spans="1:11">
      <c r="A789" s="47">
        <v>781</v>
      </c>
      <c r="B789" s="47">
        <v>264</v>
      </c>
      <c r="C789" s="47"/>
      <c r="D789" s="47"/>
      <c r="E789" s="49"/>
      <c r="F789" s="49"/>
      <c r="G789" s="49" t="s">
        <v>1739</v>
      </c>
      <c r="H789" s="47" t="s">
        <v>1740</v>
      </c>
      <c r="I789" s="43" t="str">
        <f t="shared" si="44"/>
        <v>自制设备</v>
      </c>
      <c r="J789" s="44" t="str">
        <f t="shared" si="45"/>
        <v>自制设备 筛盘汽提塔</v>
      </c>
      <c r="K789" s="43">
        <f>COUNTIF($J$2:J789,J789)</f>
        <v>1</v>
      </c>
    </row>
    <row r="790" spans="1:11">
      <c r="A790" s="47">
        <v>782</v>
      </c>
      <c r="B790" s="47">
        <v>265</v>
      </c>
      <c r="C790" s="47"/>
      <c r="D790" s="47"/>
      <c r="E790" s="49"/>
      <c r="F790" s="49"/>
      <c r="G790" s="49" t="s">
        <v>1741</v>
      </c>
      <c r="H790" s="47" t="s">
        <v>1742</v>
      </c>
      <c r="I790" s="43" t="str">
        <f t="shared" si="44"/>
        <v>自制设备</v>
      </c>
      <c r="J790" s="44" t="str">
        <f t="shared" si="45"/>
        <v>自制设备 填料汽提塔</v>
      </c>
      <c r="K790" s="43">
        <f>COUNTIF($J$2:J790,J790)</f>
        <v>1</v>
      </c>
    </row>
    <row r="791" spans="1:11">
      <c r="A791" s="47">
        <v>783</v>
      </c>
      <c r="B791" s="47">
        <v>266</v>
      </c>
      <c r="C791" s="47"/>
      <c r="D791" s="47"/>
      <c r="E791" s="49"/>
      <c r="F791" s="49"/>
      <c r="G791" s="49" t="s">
        <v>1743</v>
      </c>
      <c r="H791" s="47" t="s">
        <v>1744</v>
      </c>
      <c r="I791" s="43" t="str">
        <f t="shared" si="44"/>
        <v>自制设备</v>
      </c>
      <c r="J791" s="44" t="str">
        <f t="shared" si="45"/>
        <v>自制设备 滤网清洗池</v>
      </c>
      <c r="K791" s="43">
        <f>COUNTIF($J$2:J791,J791)</f>
        <v>1</v>
      </c>
    </row>
    <row r="792" spans="1:11">
      <c r="A792" s="47">
        <v>784</v>
      </c>
      <c r="B792" s="47">
        <v>267</v>
      </c>
      <c r="C792" s="47"/>
      <c r="D792" s="47"/>
      <c r="E792" s="49"/>
      <c r="F792" s="49"/>
      <c r="G792" s="49" t="s">
        <v>1745</v>
      </c>
      <c r="H792" s="47" t="s">
        <v>1746</v>
      </c>
      <c r="I792" s="43" t="str">
        <f t="shared" si="44"/>
        <v>自制设备</v>
      </c>
      <c r="J792" s="44" t="str">
        <f t="shared" si="45"/>
        <v>自制设备 碟片清洗池</v>
      </c>
      <c r="K792" s="43">
        <f>COUNTIF($J$2:J792,J792)</f>
        <v>1</v>
      </c>
    </row>
    <row r="793" spans="1:11">
      <c r="A793" s="47">
        <v>785</v>
      </c>
      <c r="B793" s="47">
        <v>268</v>
      </c>
      <c r="C793" s="47"/>
      <c r="D793" s="47"/>
      <c r="E793" s="49"/>
      <c r="F793" s="49"/>
      <c r="G793" s="49" t="s">
        <v>1747</v>
      </c>
      <c r="H793" s="47" t="s">
        <v>1748</v>
      </c>
      <c r="I793" s="43" t="str">
        <f t="shared" si="44"/>
        <v>自制设备</v>
      </c>
      <c r="J793" s="44" t="str">
        <f t="shared" si="45"/>
        <v>自制设备 汽液接触器</v>
      </c>
      <c r="K793" s="43">
        <f>COUNTIF($J$2:J793,J793)</f>
        <v>1</v>
      </c>
    </row>
    <row r="794" spans="1:11">
      <c r="A794" s="47">
        <v>786</v>
      </c>
      <c r="B794" s="47">
        <v>269</v>
      </c>
      <c r="C794" s="47"/>
      <c r="D794" s="47"/>
      <c r="E794" s="49"/>
      <c r="F794" s="49"/>
      <c r="G794" s="49" t="s">
        <v>1749</v>
      </c>
      <c r="H794" s="47" t="s">
        <v>1750</v>
      </c>
      <c r="I794" s="43" t="str">
        <f t="shared" ref="I794:I844" si="46">IF(COUNTA(C794)=1,C794,I793)</f>
        <v>自制设备</v>
      </c>
      <c r="J794" s="44" t="str">
        <f t="shared" ref="J794:J844" si="47">CONCATENATE(I794," ",G794)</f>
        <v>自制设备 卧式滚筒软化锅</v>
      </c>
      <c r="K794" s="43">
        <f>COUNTIF($J$2:J794,J794)</f>
        <v>1</v>
      </c>
    </row>
    <row r="795" spans="1:11">
      <c r="A795" s="47">
        <v>787</v>
      </c>
      <c r="B795" s="47">
        <v>270</v>
      </c>
      <c r="C795" s="47"/>
      <c r="D795" s="47"/>
      <c r="E795" s="49"/>
      <c r="F795" s="49"/>
      <c r="G795" s="49" t="s">
        <v>1751</v>
      </c>
      <c r="H795" s="47" t="s">
        <v>1752</v>
      </c>
      <c r="I795" s="43" t="str">
        <f t="shared" si="46"/>
        <v>自制设备</v>
      </c>
      <c r="J795" s="44" t="str">
        <f t="shared" si="47"/>
        <v>自制设备 析气器</v>
      </c>
      <c r="K795" s="43">
        <f>COUNTIF($J$2:J795,J795)</f>
        <v>1</v>
      </c>
    </row>
    <row r="796" spans="1:11">
      <c r="A796" s="47">
        <v>788</v>
      </c>
      <c r="B796" s="47">
        <v>271</v>
      </c>
      <c r="C796" s="47"/>
      <c r="D796" s="47"/>
      <c r="E796" s="49"/>
      <c r="F796" s="49"/>
      <c r="G796" s="49" t="s">
        <v>1753</v>
      </c>
      <c r="H796" s="47" t="s">
        <v>1754</v>
      </c>
      <c r="I796" s="43" t="str">
        <f t="shared" si="46"/>
        <v>自制设备</v>
      </c>
      <c r="J796" s="44" t="str">
        <f t="shared" si="47"/>
        <v>自制设备 干燥器</v>
      </c>
      <c r="K796" s="43">
        <f>COUNTIF($J$2:J796,J796)</f>
        <v>1</v>
      </c>
    </row>
    <row r="797" spans="1:11">
      <c r="A797" s="47">
        <v>789</v>
      </c>
      <c r="B797" s="47">
        <v>272</v>
      </c>
      <c r="C797" s="47"/>
      <c r="D797" s="47"/>
      <c r="E797" s="49"/>
      <c r="F797" s="49"/>
      <c r="G797" s="49" t="s">
        <v>1755</v>
      </c>
      <c r="H797" s="47" t="s">
        <v>1756</v>
      </c>
      <c r="I797" s="43" t="str">
        <f t="shared" si="46"/>
        <v>自制设备</v>
      </c>
      <c r="J797" s="44" t="str">
        <f t="shared" si="47"/>
        <v>自制设备 闪蒸罐</v>
      </c>
      <c r="K797" s="43">
        <f>COUNTIF($J$2:J797,J797)</f>
        <v>1</v>
      </c>
    </row>
    <row r="798" spans="1:11">
      <c r="A798" s="47">
        <v>790</v>
      </c>
      <c r="B798" s="47">
        <v>273</v>
      </c>
      <c r="C798" s="47"/>
      <c r="D798" s="47"/>
      <c r="E798" s="49"/>
      <c r="F798" s="49"/>
      <c r="G798" s="49" t="s">
        <v>1757</v>
      </c>
      <c r="H798" s="47" t="s">
        <v>1758</v>
      </c>
      <c r="I798" s="43" t="str">
        <f t="shared" si="46"/>
        <v>自制设备</v>
      </c>
      <c r="J798" s="44" t="str">
        <f t="shared" si="47"/>
        <v>自制设备 立式熟化机</v>
      </c>
      <c r="K798" s="43">
        <f>COUNTIF($J$2:J798,J798)</f>
        <v>1</v>
      </c>
    </row>
    <row r="799" spans="1:11">
      <c r="A799" s="47">
        <v>791</v>
      </c>
      <c r="B799" s="47">
        <v>274</v>
      </c>
      <c r="C799" s="47"/>
      <c r="D799" s="47"/>
      <c r="E799" s="49"/>
      <c r="F799" s="49"/>
      <c r="G799" s="49" t="s">
        <v>1759</v>
      </c>
      <c r="H799" s="47" t="s">
        <v>1760</v>
      </c>
      <c r="I799" s="43" t="str">
        <f t="shared" si="46"/>
        <v>自制设备</v>
      </c>
      <c r="J799" s="44" t="str">
        <f t="shared" si="47"/>
        <v>自制设备 暂存箱AG</v>
      </c>
      <c r="K799" s="43">
        <f>COUNTIF($J$2:J799,J799)</f>
        <v>1</v>
      </c>
    </row>
    <row r="800" spans="1:11">
      <c r="A800" s="47">
        <v>792</v>
      </c>
      <c r="B800" s="47">
        <v>275</v>
      </c>
      <c r="C800" s="47"/>
      <c r="D800" s="47"/>
      <c r="E800" s="49"/>
      <c r="F800" s="49"/>
      <c r="G800" s="49" t="s">
        <v>1761</v>
      </c>
      <c r="H800" s="47" t="s">
        <v>1762</v>
      </c>
      <c r="I800" s="43" t="str">
        <f t="shared" si="46"/>
        <v>自制设备</v>
      </c>
      <c r="J800" s="44" t="str">
        <f t="shared" si="47"/>
        <v>自制设备 酸罐</v>
      </c>
      <c r="K800" s="43">
        <f>COUNTIF($J$2:J800,J800)</f>
        <v>1</v>
      </c>
    </row>
    <row r="801" spans="1:11">
      <c r="A801" s="47">
        <v>793</v>
      </c>
      <c r="B801" s="47">
        <v>276</v>
      </c>
      <c r="C801" s="47"/>
      <c r="D801" s="47"/>
      <c r="E801" s="49"/>
      <c r="F801" s="49"/>
      <c r="G801" s="49" t="s">
        <v>1763</v>
      </c>
      <c r="H801" s="47" t="s">
        <v>1764</v>
      </c>
      <c r="I801" s="43" t="str">
        <f t="shared" si="46"/>
        <v>自制设备</v>
      </c>
      <c r="J801" s="44" t="str">
        <f t="shared" si="47"/>
        <v>自制设备 油水分离池</v>
      </c>
      <c r="K801" s="43">
        <f>COUNTIF($J$2:J801,J801)</f>
        <v>1</v>
      </c>
    </row>
    <row r="802" spans="1:11">
      <c r="A802" s="47">
        <v>794</v>
      </c>
      <c r="B802" s="47">
        <v>277</v>
      </c>
      <c r="C802" s="47"/>
      <c r="D802" s="47"/>
      <c r="E802" s="49"/>
      <c r="F802" s="49"/>
      <c r="G802" s="49" t="s">
        <v>1765</v>
      </c>
      <c r="H802" s="47" t="s">
        <v>1766</v>
      </c>
      <c r="I802" s="43" t="str">
        <f t="shared" si="46"/>
        <v>自制设备</v>
      </c>
      <c r="J802" s="44" t="str">
        <f t="shared" si="47"/>
        <v>自制设备 脱色塔AG</v>
      </c>
      <c r="K802" s="43">
        <f>COUNTIF($J$2:J802,J802)</f>
        <v>1</v>
      </c>
    </row>
    <row r="803" spans="1:11">
      <c r="A803" s="47">
        <v>795</v>
      </c>
      <c r="B803" s="47">
        <v>278</v>
      </c>
      <c r="C803" s="47"/>
      <c r="D803" s="47"/>
      <c r="E803" s="49"/>
      <c r="F803" s="49"/>
      <c r="G803" s="49" t="s">
        <v>1767</v>
      </c>
      <c r="H803" s="47" t="s">
        <v>1768</v>
      </c>
      <c r="I803" s="43" t="str">
        <f t="shared" si="46"/>
        <v>自制设备</v>
      </c>
      <c r="J803" s="44" t="str">
        <f t="shared" si="47"/>
        <v>自制设备 脱色塔</v>
      </c>
      <c r="K803" s="43">
        <f>COUNTIF($J$2:J803,J803)</f>
        <v>1</v>
      </c>
    </row>
    <row r="804" spans="1:11">
      <c r="A804" s="47">
        <v>796</v>
      </c>
      <c r="B804" s="47">
        <v>279</v>
      </c>
      <c r="C804" s="47"/>
      <c r="D804" s="47"/>
      <c r="E804" s="49"/>
      <c r="F804" s="49"/>
      <c r="G804" s="49" t="s">
        <v>1769</v>
      </c>
      <c r="H804" s="47" t="s">
        <v>1770</v>
      </c>
      <c r="I804" s="43" t="str">
        <f t="shared" si="46"/>
        <v>自制设备</v>
      </c>
      <c r="J804" s="44" t="str">
        <f t="shared" si="47"/>
        <v>自制设备 投料斗</v>
      </c>
      <c r="K804" s="43">
        <f>COUNTIF($J$2:J804,J804)</f>
        <v>1</v>
      </c>
    </row>
    <row r="805" spans="1:11">
      <c r="A805" s="47">
        <v>797</v>
      </c>
      <c r="B805" s="47">
        <v>280</v>
      </c>
      <c r="C805" s="47"/>
      <c r="D805" s="47"/>
      <c r="E805" s="49"/>
      <c r="F805" s="49"/>
      <c r="G805" s="49" t="s">
        <v>1771</v>
      </c>
      <c r="H805" s="47" t="s">
        <v>1772</v>
      </c>
      <c r="I805" s="43" t="str">
        <f t="shared" si="46"/>
        <v>自制设备</v>
      </c>
      <c r="J805" s="44" t="str">
        <f t="shared" si="47"/>
        <v>自制设备 急加热器</v>
      </c>
      <c r="K805" s="43">
        <f>COUNTIF($J$2:J805,J805)</f>
        <v>1</v>
      </c>
    </row>
    <row r="806" spans="1:11">
      <c r="A806" s="47">
        <v>798</v>
      </c>
      <c r="B806" s="47">
        <v>281</v>
      </c>
      <c r="C806" s="47"/>
      <c r="D806" s="47"/>
      <c r="E806" s="49"/>
      <c r="F806" s="49"/>
      <c r="G806" s="49" t="s">
        <v>1773</v>
      </c>
      <c r="H806" s="47" t="s">
        <v>1774</v>
      </c>
      <c r="I806" s="43" t="str">
        <f t="shared" si="46"/>
        <v>自制设备</v>
      </c>
      <c r="J806" s="44" t="str">
        <f t="shared" si="47"/>
        <v>自制设备 磨盘脱皮机</v>
      </c>
      <c r="K806" s="43">
        <f>COUNTIF($J$2:J806,J806)</f>
        <v>1</v>
      </c>
    </row>
    <row r="807" spans="1:11">
      <c r="A807" s="47">
        <v>799</v>
      </c>
      <c r="B807" s="47">
        <v>282</v>
      </c>
      <c r="C807" s="47"/>
      <c r="D807" s="47"/>
      <c r="E807" s="49"/>
      <c r="F807" s="49"/>
      <c r="G807" s="49" t="s">
        <v>1775</v>
      </c>
      <c r="H807" s="47" t="s">
        <v>1776</v>
      </c>
      <c r="I807" s="43" t="str">
        <f t="shared" si="46"/>
        <v>自制设备</v>
      </c>
      <c r="J807" s="44" t="str">
        <f t="shared" si="47"/>
        <v>自制设备 脱溶锅</v>
      </c>
      <c r="K807" s="43">
        <f>COUNTIF($J$2:J807,J807)</f>
        <v>1</v>
      </c>
    </row>
    <row r="808" spans="1:11">
      <c r="A808" s="47">
        <v>800</v>
      </c>
      <c r="B808" s="47">
        <v>283</v>
      </c>
      <c r="C808" s="47"/>
      <c r="D808" s="47"/>
      <c r="E808" s="49"/>
      <c r="F808" s="49"/>
      <c r="G808" s="49" t="s">
        <v>1777</v>
      </c>
      <c r="H808" s="47" t="s">
        <v>1778</v>
      </c>
      <c r="I808" s="43" t="str">
        <f t="shared" si="46"/>
        <v>自制设备</v>
      </c>
      <c r="J808" s="44" t="str">
        <f t="shared" si="47"/>
        <v>自制设备 脱酸塔</v>
      </c>
      <c r="K808" s="43">
        <f>COUNTIF($J$2:J808,J808)</f>
        <v>1</v>
      </c>
    </row>
    <row r="809" spans="1:11">
      <c r="A809" s="47">
        <v>801</v>
      </c>
      <c r="B809" s="47">
        <v>284</v>
      </c>
      <c r="C809" s="47"/>
      <c r="D809" s="47"/>
      <c r="E809" s="49"/>
      <c r="F809" s="49"/>
      <c r="G809" s="49" t="s">
        <v>1779</v>
      </c>
      <c r="H809" s="47" t="s">
        <v>1780</v>
      </c>
      <c r="I809" s="43" t="str">
        <f t="shared" si="46"/>
        <v>自制设备</v>
      </c>
      <c r="J809" s="44" t="str">
        <f t="shared" si="47"/>
        <v>自制设备 板式脱臭塔</v>
      </c>
      <c r="K809" s="43">
        <f>COUNTIF($J$2:J809,J809)</f>
        <v>1</v>
      </c>
    </row>
    <row r="810" spans="1:11">
      <c r="A810" s="47">
        <v>802</v>
      </c>
      <c r="B810" s="47">
        <v>285</v>
      </c>
      <c r="C810" s="47"/>
      <c r="D810" s="47"/>
      <c r="E810" s="49"/>
      <c r="F810" s="49"/>
      <c r="G810" s="49" t="s">
        <v>1781</v>
      </c>
      <c r="H810" s="47" t="s">
        <v>1782</v>
      </c>
      <c r="I810" s="43" t="str">
        <f t="shared" si="46"/>
        <v>自制设备</v>
      </c>
      <c r="J810" s="44" t="str">
        <f t="shared" si="47"/>
        <v>自制设备 组合脱臭塔</v>
      </c>
      <c r="K810" s="43">
        <f>COUNTIF($J$2:J810,J810)</f>
        <v>1</v>
      </c>
    </row>
    <row r="811" spans="1:11">
      <c r="A811" s="47">
        <v>803</v>
      </c>
      <c r="B811" s="47">
        <v>286</v>
      </c>
      <c r="C811" s="47"/>
      <c r="D811" s="47"/>
      <c r="E811" s="49"/>
      <c r="F811" s="49"/>
      <c r="G811" s="49" t="s">
        <v>1783</v>
      </c>
      <c r="H811" s="47" t="s">
        <v>1784</v>
      </c>
      <c r="I811" s="43" t="str">
        <f t="shared" si="46"/>
        <v>自制设备</v>
      </c>
      <c r="J811" s="44" t="str">
        <f t="shared" si="47"/>
        <v>自制设备 MIXI脱臭塔</v>
      </c>
      <c r="K811" s="43">
        <f>COUNTIF($J$2:J811,J811)</f>
        <v>1</v>
      </c>
    </row>
    <row r="812" spans="1:11">
      <c r="A812" s="47">
        <v>804</v>
      </c>
      <c r="B812" s="47">
        <v>287</v>
      </c>
      <c r="C812" s="47"/>
      <c r="D812" s="47"/>
      <c r="E812" s="49"/>
      <c r="F812" s="49"/>
      <c r="G812" s="49" t="s">
        <v>1785</v>
      </c>
      <c r="H812" s="47" t="s">
        <v>1786</v>
      </c>
      <c r="I812" s="43" t="str">
        <f t="shared" si="46"/>
        <v>自制设备</v>
      </c>
      <c r="J812" s="44" t="str">
        <f t="shared" si="47"/>
        <v>自制设备 半连续脱臭塔</v>
      </c>
      <c r="K812" s="43">
        <f>COUNTIF($J$2:J812,J812)</f>
        <v>1</v>
      </c>
    </row>
    <row r="813" spans="1:11">
      <c r="A813" s="47">
        <v>805</v>
      </c>
      <c r="B813" s="47">
        <v>288</v>
      </c>
      <c r="C813" s="47"/>
      <c r="D813" s="47"/>
      <c r="E813" s="49"/>
      <c r="F813" s="49"/>
      <c r="G813" s="49" t="s">
        <v>1787</v>
      </c>
      <c r="H813" s="47" t="s">
        <v>1788</v>
      </c>
      <c r="I813" s="43" t="str">
        <f t="shared" si="46"/>
        <v>自制设备</v>
      </c>
      <c r="J813" s="44" t="str">
        <f t="shared" si="47"/>
        <v>自制设备 填料脱臭塔</v>
      </c>
      <c r="K813" s="43">
        <f>COUNTIF($J$2:J813,J813)</f>
        <v>1</v>
      </c>
    </row>
    <row r="814" spans="1:11">
      <c r="A814" s="47">
        <v>806</v>
      </c>
      <c r="B814" s="47">
        <v>289</v>
      </c>
      <c r="C814" s="47"/>
      <c r="D814" s="47"/>
      <c r="E814" s="49"/>
      <c r="F814" s="49"/>
      <c r="G814" s="49" t="s">
        <v>1789</v>
      </c>
      <c r="H814" s="47" t="s">
        <v>1790</v>
      </c>
      <c r="I814" s="43" t="str">
        <f t="shared" si="46"/>
        <v>自制设备</v>
      </c>
      <c r="J814" s="44" t="str">
        <f t="shared" si="47"/>
        <v>自制设备 卧式脱臭塔</v>
      </c>
      <c r="K814" s="43">
        <f>COUNTIF($J$2:J814,J814)</f>
        <v>1</v>
      </c>
    </row>
    <row r="815" spans="1:11">
      <c r="A815" s="47">
        <v>807</v>
      </c>
      <c r="B815" s="47">
        <v>290</v>
      </c>
      <c r="C815" s="47"/>
      <c r="D815" s="47"/>
      <c r="E815" s="49"/>
      <c r="F815" s="49"/>
      <c r="G815" s="49" t="s">
        <v>1791</v>
      </c>
      <c r="H815" s="47" t="s">
        <v>1792</v>
      </c>
      <c r="I815" s="43" t="str">
        <f t="shared" si="46"/>
        <v>自制设备</v>
      </c>
      <c r="J815" s="44" t="str">
        <f t="shared" si="47"/>
        <v>自制设备 板式调质塔</v>
      </c>
      <c r="K815" s="43">
        <f>COUNTIF($J$2:J815,J815)</f>
        <v>1</v>
      </c>
    </row>
    <row r="816" spans="1:11">
      <c r="A816" s="47">
        <v>808</v>
      </c>
      <c r="B816" s="47">
        <v>291</v>
      </c>
      <c r="C816" s="47"/>
      <c r="D816" s="47"/>
      <c r="E816" s="49"/>
      <c r="F816" s="49"/>
      <c r="G816" s="49" t="s">
        <v>1793</v>
      </c>
      <c r="H816" s="47" t="s">
        <v>1794</v>
      </c>
      <c r="I816" s="43" t="str">
        <f t="shared" si="46"/>
        <v>自制设备</v>
      </c>
      <c r="J816" s="44" t="str">
        <f t="shared" si="47"/>
        <v>自制设备 调质塔</v>
      </c>
      <c r="K816" s="43">
        <f>COUNTIF($J$2:J816,J816)</f>
        <v>1</v>
      </c>
    </row>
    <row r="817" spans="1:11">
      <c r="A817" s="47">
        <v>809</v>
      </c>
      <c r="B817" s="47">
        <v>292</v>
      </c>
      <c r="C817" s="47"/>
      <c r="D817" s="47"/>
      <c r="E817" s="49"/>
      <c r="F817" s="49"/>
      <c r="G817" s="49" t="s">
        <v>1795</v>
      </c>
      <c r="H817" s="47" t="s">
        <v>1796</v>
      </c>
      <c r="I817" s="43" t="str">
        <f t="shared" si="46"/>
        <v>自制设备</v>
      </c>
      <c r="J817" s="44" t="str">
        <f t="shared" si="47"/>
        <v>自制设备 节能器</v>
      </c>
      <c r="K817" s="43">
        <f>COUNTIF($J$2:J817,J817)</f>
        <v>1</v>
      </c>
    </row>
    <row r="818" spans="1:11">
      <c r="A818" s="47">
        <v>810</v>
      </c>
      <c r="B818" s="47">
        <v>293</v>
      </c>
      <c r="C818" s="47"/>
      <c r="D818" s="47"/>
      <c r="E818" s="49"/>
      <c r="F818" s="49"/>
      <c r="G818" s="49" t="s">
        <v>1797</v>
      </c>
      <c r="H818" s="47" t="s">
        <v>1798</v>
      </c>
      <c r="I818" s="43" t="str">
        <f t="shared" si="46"/>
        <v>自制设备</v>
      </c>
      <c r="J818" s="44" t="str">
        <f t="shared" si="47"/>
        <v>自制设备 节能器W</v>
      </c>
      <c r="K818" s="43">
        <f>COUNTIF($J$2:J818,J818)</f>
        <v>1</v>
      </c>
    </row>
    <row r="819" spans="1:11">
      <c r="A819" s="47">
        <v>811</v>
      </c>
      <c r="B819" s="47">
        <v>294</v>
      </c>
      <c r="C819" s="47"/>
      <c r="D819" s="47"/>
      <c r="E819" s="49"/>
      <c r="F819" s="49"/>
      <c r="G819" s="49" t="s">
        <v>1799</v>
      </c>
      <c r="H819" s="47" t="s">
        <v>1800</v>
      </c>
      <c r="I819" s="43" t="str">
        <f t="shared" si="46"/>
        <v>自制设备</v>
      </c>
      <c r="J819" s="44" t="str">
        <f t="shared" si="47"/>
        <v>自制设备 卧式圆盘干燥机</v>
      </c>
      <c r="K819" s="43">
        <f>COUNTIF($J$2:J819,J819)</f>
        <v>1</v>
      </c>
    </row>
    <row r="820" spans="1:11">
      <c r="A820" s="47">
        <v>812</v>
      </c>
      <c r="B820" s="47">
        <v>295</v>
      </c>
      <c r="C820" s="47"/>
      <c r="D820" s="47"/>
      <c r="E820" s="49"/>
      <c r="F820" s="49"/>
      <c r="G820" s="49" t="s">
        <v>1801</v>
      </c>
      <c r="H820" s="47" t="s">
        <v>1802</v>
      </c>
      <c r="I820" s="43" t="str">
        <f t="shared" si="46"/>
        <v>自制设备</v>
      </c>
      <c r="J820" s="44" t="str">
        <f t="shared" si="47"/>
        <v>自制设备 管束真空脱溶机</v>
      </c>
      <c r="K820" s="43">
        <f>COUNTIF($J$2:J820,J820)</f>
        <v>1</v>
      </c>
    </row>
    <row r="821" spans="1:11">
      <c r="A821" s="47">
        <v>813</v>
      </c>
      <c r="B821" s="47">
        <v>296</v>
      </c>
      <c r="C821" s="47"/>
      <c r="D821" s="47"/>
      <c r="E821" s="49"/>
      <c r="F821" s="49"/>
      <c r="G821" s="49" t="s">
        <v>1803</v>
      </c>
      <c r="H821" s="47" t="s">
        <v>1804</v>
      </c>
      <c r="I821" s="43" t="str">
        <f t="shared" si="46"/>
        <v>自制设备</v>
      </c>
      <c r="J821" s="44" t="str">
        <f t="shared" si="47"/>
        <v>自制设备 废热吸收塔</v>
      </c>
      <c r="K821" s="43">
        <f>COUNTIF($J$2:J821,J821)</f>
        <v>1</v>
      </c>
    </row>
    <row r="822" spans="1:11">
      <c r="A822" s="47">
        <v>814</v>
      </c>
      <c r="B822" s="47">
        <v>297</v>
      </c>
      <c r="C822" s="47"/>
      <c r="D822" s="47"/>
      <c r="E822" s="49"/>
      <c r="F822" s="49"/>
      <c r="G822" s="49" t="s">
        <v>1805</v>
      </c>
      <c r="H822" s="47" t="s">
        <v>1806</v>
      </c>
      <c r="I822" s="43" t="str">
        <f t="shared" si="46"/>
        <v>自制设备</v>
      </c>
      <c r="J822" s="44" t="str">
        <f t="shared" si="47"/>
        <v>自制设备 吸收塔</v>
      </c>
      <c r="K822" s="43">
        <f>COUNTIF($J$2:J822,J822)</f>
        <v>1</v>
      </c>
    </row>
    <row r="823" spans="1:11">
      <c r="A823" s="47">
        <v>815</v>
      </c>
      <c r="B823" s="47">
        <v>298</v>
      </c>
      <c r="C823" s="47"/>
      <c r="D823" s="47"/>
      <c r="E823" s="49"/>
      <c r="F823" s="49"/>
      <c r="G823" s="49" t="s">
        <v>1807</v>
      </c>
      <c r="H823" s="47" t="s">
        <v>1808</v>
      </c>
      <c r="I823" s="43" t="str">
        <f t="shared" si="46"/>
        <v>自制设备</v>
      </c>
      <c r="J823" s="44" t="str">
        <f t="shared" si="47"/>
        <v>自制设备 分气缸</v>
      </c>
      <c r="K823" s="43">
        <f>COUNTIF($J$2:J823,J823)</f>
        <v>1</v>
      </c>
    </row>
    <row r="824" spans="1:11">
      <c r="A824" s="47">
        <v>816</v>
      </c>
      <c r="B824" s="47">
        <v>299</v>
      </c>
      <c r="C824" s="47"/>
      <c r="D824" s="47"/>
      <c r="E824" s="49"/>
      <c r="F824" s="49"/>
      <c r="G824" s="49" t="s">
        <v>371</v>
      </c>
      <c r="H824" s="47" t="s">
        <v>1809</v>
      </c>
      <c r="I824" s="43" t="str">
        <f t="shared" si="46"/>
        <v>自制设备</v>
      </c>
      <c r="J824" s="44" t="str">
        <f t="shared" si="47"/>
        <v>自制设备 储气罐</v>
      </c>
      <c r="K824" s="43">
        <f>COUNTIF($J$2:J824,J824)</f>
        <v>1</v>
      </c>
    </row>
    <row r="825" spans="1:11">
      <c r="A825" s="47">
        <v>817</v>
      </c>
      <c r="B825" s="47">
        <v>300</v>
      </c>
      <c r="C825" s="47"/>
      <c r="D825" s="47"/>
      <c r="E825" s="49"/>
      <c r="F825" s="49"/>
      <c r="G825" s="49" t="s">
        <v>1810</v>
      </c>
      <c r="H825" s="47" t="s">
        <v>1811</v>
      </c>
      <c r="I825" s="43" t="str">
        <f t="shared" si="46"/>
        <v>自制设备</v>
      </c>
      <c r="J825" s="44" t="str">
        <f t="shared" si="47"/>
        <v>自制设备 受压水罐</v>
      </c>
      <c r="K825" s="43">
        <f>COUNTIF($J$2:J825,J825)</f>
        <v>1</v>
      </c>
    </row>
    <row r="826" spans="1:11">
      <c r="A826" s="47">
        <v>818</v>
      </c>
      <c r="B826" s="47">
        <v>301</v>
      </c>
      <c r="C826" s="47"/>
      <c r="D826" s="47"/>
      <c r="E826" s="49"/>
      <c r="F826" s="49"/>
      <c r="G826" s="49" t="s">
        <v>1812</v>
      </c>
      <c r="H826" s="47" t="s">
        <v>1813</v>
      </c>
      <c r="I826" s="43" t="str">
        <f t="shared" si="46"/>
        <v>自制设备</v>
      </c>
      <c r="J826" s="44" t="str">
        <f t="shared" si="47"/>
        <v>自制设备 薄膜蒸发器</v>
      </c>
      <c r="K826" s="43">
        <f>COUNTIF($J$2:J826,J826)</f>
        <v>1</v>
      </c>
    </row>
    <row r="827" spans="1:11">
      <c r="A827" s="47">
        <v>819</v>
      </c>
      <c r="B827" s="47">
        <v>302</v>
      </c>
      <c r="C827" s="47"/>
      <c r="D827" s="47"/>
      <c r="E827" s="49"/>
      <c r="F827" s="49"/>
      <c r="G827" s="49" t="s">
        <v>1814</v>
      </c>
      <c r="H827" s="47" t="s">
        <v>1815</v>
      </c>
      <c r="I827" s="43" t="str">
        <f t="shared" si="46"/>
        <v>自制设备</v>
      </c>
      <c r="J827" s="44" t="str">
        <f t="shared" si="47"/>
        <v>自制设备 磷脂干燥器</v>
      </c>
      <c r="K827" s="43">
        <f>COUNTIF($J$2:J827,J827)</f>
        <v>1</v>
      </c>
    </row>
    <row r="828" spans="1:11">
      <c r="A828" s="47">
        <v>820</v>
      </c>
      <c r="B828" s="47">
        <v>303</v>
      </c>
      <c r="C828" s="47"/>
      <c r="D828" s="47"/>
      <c r="E828" s="49"/>
      <c r="F828" s="49"/>
      <c r="G828" s="49" t="s">
        <v>1816</v>
      </c>
      <c r="H828" s="47" t="s">
        <v>1817</v>
      </c>
      <c r="I828" s="43" t="str">
        <f t="shared" si="46"/>
        <v>自制设备</v>
      </c>
      <c r="J828" s="44" t="str">
        <f t="shared" si="47"/>
        <v>自制设备 白土罐</v>
      </c>
      <c r="K828" s="43">
        <f>COUNTIF($J$2:J828,J828)</f>
        <v>1</v>
      </c>
    </row>
    <row r="829" spans="1:11">
      <c r="A829" s="47">
        <v>821</v>
      </c>
      <c r="B829" s="47">
        <v>304</v>
      </c>
      <c r="C829" s="47"/>
      <c r="D829" s="47"/>
      <c r="E829" s="49"/>
      <c r="F829" s="49"/>
      <c r="G829" s="49" t="s">
        <v>1818</v>
      </c>
      <c r="H829" s="47" t="s">
        <v>1819</v>
      </c>
      <c r="I829" s="43" t="str">
        <f t="shared" si="46"/>
        <v>自制设备</v>
      </c>
      <c r="J829" s="44" t="str">
        <f t="shared" si="47"/>
        <v>自制设备 暂存箱</v>
      </c>
      <c r="K829" s="43">
        <f>COUNTIF($J$2:J829,J829)</f>
        <v>1</v>
      </c>
    </row>
    <row r="830" spans="1:11">
      <c r="A830" s="47">
        <v>822</v>
      </c>
      <c r="B830" s="47">
        <v>305</v>
      </c>
      <c r="C830" s="47"/>
      <c r="D830" s="47"/>
      <c r="E830" s="49"/>
      <c r="F830" s="49"/>
      <c r="G830" s="49" t="s">
        <v>1820</v>
      </c>
      <c r="H830" s="47" t="s">
        <v>1821</v>
      </c>
      <c r="I830" s="43" t="str">
        <f t="shared" si="46"/>
        <v>自制设备</v>
      </c>
      <c r="J830" s="44" t="str">
        <f t="shared" si="47"/>
        <v>自制设备 回转炒锅</v>
      </c>
      <c r="K830" s="43">
        <f>COUNTIF($J$2:J830,J830)</f>
        <v>1</v>
      </c>
    </row>
    <row r="831" spans="1:11">
      <c r="A831" s="47">
        <v>823</v>
      </c>
      <c r="B831" s="47">
        <v>306</v>
      </c>
      <c r="C831" s="47"/>
      <c r="D831" s="47"/>
      <c r="E831" s="49"/>
      <c r="F831" s="49"/>
      <c r="G831" s="49" t="s">
        <v>403</v>
      </c>
      <c r="H831" s="47" t="s">
        <v>1822</v>
      </c>
      <c r="I831" s="43" t="str">
        <f t="shared" si="46"/>
        <v>自制设备</v>
      </c>
      <c r="J831" s="44" t="str">
        <f t="shared" si="47"/>
        <v>自制设备 立式蒸炒锅</v>
      </c>
      <c r="K831" s="43">
        <f>COUNTIF($J$2:J831,J831)</f>
        <v>1</v>
      </c>
    </row>
    <row r="832" spans="1:11">
      <c r="A832" s="47">
        <v>824</v>
      </c>
      <c r="B832" s="47">
        <v>307</v>
      </c>
      <c r="C832" s="47"/>
      <c r="D832" s="47"/>
      <c r="E832" s="49"/>
      <c r="F832" s="49"/>
      <c r="G832" s="49" t="s">
        <v>1823</v>
      </c>
      <c r="H832" s="47" t="s">
        <v>1824</v>
      </c>
      <c r="I832" s="43" t="str">
        <f t="shared" si="46"/>
        <v>自制设备</v>
      </c>
      <c r="J832" s="44" t="str">
        <f t="shared" si="47"/>
        <v>自制设备 常压水罐</v>
      </c>
      <c r="K832" s="43">
        <f>COUNTIF($J$2:J832,J832)</f>
        <v>1</v>
      </c>
    </row>
    <row r="833" spans="1:11">
      <c r="A833" s="47">
        <v>825</v>
      </c>
      <c r="B833" s="47">
        <v>308</v>
      </c>
      <c r="C833" s="47"/>
      <c r="D833" s="47"/>
      <c r="E833" s="49"/>
      <c r="F833" s="49"/>
      <c r="G833" s="49" t="s">
        <v>1825</v>
      </c>
      <c r="H833" s="47" t="s">
        <v>1826</v>
      </c>
      <c r="I833" s="43" t="str">
        <f t="shared" si="46"/>
        <v>自制设备</v>
      </c>
      <c r="J833" s="44" t="str">
        <f t="shared" si="47"/>
        <v>自制设备 再沸器L</v>
      </c>
      <c r="K833" s="43">
        <f>COUNTIF($J$2:J833,J833)</f>
        <v>1</v>
      </c>
    </row>
    <row r="834" spans="1:11">
      <c r="A834" s="47">
        <v>826</v>
      </c>
      <c r="B834" s="47">
        <v>309</v>
      </c>
      <c r="C834" s="47"/>
      <c r="D834" s="47"/>
      <c r="E834" s="49"/>
      <c r="F834" s="49"/>
      <c r="G834" s="49" t="s">
        <v>1827</v>
      </c>
      <c r="H834" s="47" t="s">
        <v>1828</v>
      </c>
      <c r="I834" s="43" t="str">
        <f t="shared" si="46"/>
        <v>自制设备</v>
      </c>
      <c r="J834" s="44" t="str">
        <f t="shared" si="47"/>
        <v>自制设备 再沸器W</v>
      </c>
      <c r="K834" s="43">
        <f>COUNTIF($J$2:J834,J834)</f>
        <v>1</v>
      </c>
    </row>
    <row r="835" spans="1:11">
      <c r="A835" s="47">
        <v>827</v>
      </c>
      <c r="B835" s="47">
        <v>310</v>
      </c>
      <c r="C835" s="47"/>
      <c r="D835" s="47"/>
      <c r="E835" s="49"/>
      <c r="F835" s="49"/>
      <c r="G835" s="49" t="s">
        <v>1829</v>
      </c>
      <c r="H835" s="47" t="s">
        <v>1830</v>
      </c>
      <c r="I835" s="43" t="str">
        <f t="shared" si="46"/>
        <v>自制设备</v>
      </c>
      <c r="J835" s="44" t="str">
        <f t="shared" si="47"/>
        <v>自制设备 卧式棕果杀酵罐</v>
      </c>
      <c r="K835" s="43">
        <f>COUNTIF($J$2:J835,J835)</f>
        <v>1</v>
      </c>
    </row>
    <row r="836" spans="1:11">
      <c r="A836" s="47">
        <v>828</v>
      </c>
      <c r="B836" s="47">
        <v>311</v>
      </c>
      <c r="C836" s="47"/>
      <c r="D836" s="47"/>
      <c r="E836" s="49"/>
      <c r="F836" s="49"/>
      <c r="G836" s="49" t="s">
        <v>1831</v>
      </c>
      <c r="H836" s="47" t="s">
        <v>1832</v>
      </c>
      <c r="I836" s="43" t="str">
        <f t="shared" si="46"/>
        <v>自制设备</v>
      </c>
      <c r="J836" s="44" t="str">
        <f t="shared" si="47"/>
        <v>自制设备 精油蒸馏机</v>
      </c>
      <c r="K836" s="43">
        <f>COUNTIF($J$2:J836,J836)</f>
        <v>1</v>
      </c>
    </row>
    <row r="837" spans="1:11">
      <c r="A837" s="47">
        <v>829</v>
      </c>
      <c r="B837" s="47">
        <v>312</v>
      </c>
      <c r="C837" s="47"/>
      <c r="D837" s="47"/>
      <c r="E837" s="49"/>
      <c r="F837" s="49"/>
      <c r="G837" s="49" t="s">
        <v>1833</v>
      </c>
      <c r="H837" s="47" t="s">
        <v>1834</v>
      </c>
      <c r="I837" s="43" t="str">
        <f t="shared" si="46"/>
        <v>自制设备</v>
      </c>
      <c r="J837" s="44" t="str">
        <f t="shared" si="47"/>
        <v>自制设备 脂肪酸蒸馏塔</v>
      </c>
      <c r="K837" s="43">
        <f>COUNTIF($J$2:J837,J837)</f>
        <v>1</v>
      </c>
    </row>
    <row r="838" spans="1:11">
      <c r="A838" s="47">
        <v>830</v>
      </c>
      <c r="B838" s="47">
        <v>313</v>
      </c>
      <c r="C838" s="47"/>
      <c r="D838" s="47"/>
      <c r="E838" s="49"/>
      <c r="F838" s="49"/>
      <c r="G838" s="49" t="s">
        <v>1835</v>
      </c>
      <c r="H838" s="47" t="s">
        <v>1836</v>
      </c>
      <c r="I838" s="43" t="str">
        <f t="shared" si="46"/>
        <v>自制设备</v>
      </c>
      <c r="J838" s="44" t="str">
        <f t="shared" si="47"/>
        <v>自制设备 第一蒸发器</v>
      </c>
      <c r="K838" s="43">
        <f>COUNTIF($J$2:J838,J838)</f>
        <v>1</v>
      </c>
    </row>
    <row r="839" spans="1:11">
      <c r="A839" s="47">
        <v>831</v>
      </c>
      <c r="B839" s="47">
        <v>314</v>
      </c>
      <c r="C839" s="47"/>
      <c r="D839" s="47"/>
      <c r="E839" s="49"/>
      <c r="F839" s="49"/>
      <c r="G839" s="49" t="s">
        <v>1837</v>
      </c>
      <c r="H839" s="47" t="s">
        <v>1838</v>
      </c>
      <c r="I839" s="43" t="str">
        <f t="shared" si="46"/>
        <v>自制设备</v>
      </c>
      <c r="J839" s="44" t="str">
        <f t="shared" si="47"/>
        <v>自制设备 第二蒸发器</v>
      </c>
      <c r="K839" s="43">
        <f>COUNTIF($J$2:J839,J839)</f>
        <v>1</v>
      </c>
    </row>
    <row r="840" spans="1:11">
      <c r="A840" s="47">
        <v>832</v>
      </c>
      <c r="B840" s="47">
        <v>315</v>
      </c>
      <c r="C840" s="47"/>
      <c r="D840" s="47"/>
      <c r="E840" s="49"/>
      <c r="F840" s="49"/>
      <c r="G840" s="49" t="s">
        <v>1839</v>
      </c>
      <c r="H840" s="47" t="s">
        <v>1840</v>
      </c>
      <c r="I840" s="43" t="str">
        <f t="shared" si="46"/>
        <v>自制设备</v>
      </c>
      <c r="J840" s="44" t="str">
        <f t="shared" si="47"/>
        <v>自制设备 立式棕果杀酵罐</v>
      </c>
      <c r="K840" s="43">
        <f>COUNTIF($J$2:J840,J840)</f>
        <v>1</v>
      </c>
    </row>
    <row r="841" spans="1:11">
      <c r="A841" s="47">
        <v>833</v>
      </c>
      <c r="B841" s="47">
        <v>316</v>
      </c>
      <c r="C841" s="47"/>
      <c r="D841" s="47"/>
      <c r="E841" s="49"/>
      <c r="F841" s="49"/>
      <c r="G841" s="49" t="s">
        <v>1841</v>
      </c>
      <c r="H841" s="47" t="s">
        <v>1842</v>
      </c>
      <c r="I841" s="43" t="str">
        <f t="shared" si="46"/>
        <v>自制设备</v>
      </c>
      <c r="J841" s="44" t="str">
        <f t="shared" si="47"/>
        <v>自制设备 压力式卧式棕果杀酵罐</v>
      </c>
      <c r="K841" s="43">
        <f>COUNTIF($J$2:J841,J841)</f>
        <v>1</v>
      </c>
    </row>
    <row r="842" spans="1:11">
      <c r="A842" s="47">
        <v>834</v>
      </c>
      <c r="B842" s="47">
        <v>317</v>
      </c>
      <c r="C842" s="47"/>
      <c r="D842" s="47"/>
      <c r="E842" s="49"/>
      <c r="F842" s="49"/>
      <c r="G842" s="49" t="s">
        <v>1843</v>
      </c>
      <c r="H842" s="47" t="s">
        <v>1844</v>
      </c>
      <c r="I842" s="43" t="str">
        <f t="shared" si="46"/>
        <v>自制设备</v>
      </c>
      <c r="J842" s="44" t="str">
        <f t="shared" si="47"/>
        <v>自制设备 受压暂存罐</v>
      </c>
      <c r="K842" s="43">
        <f>COUNTIF($J$2:J842,J842)</f>
        <v>1</v>
      </c>
    </row>
    <row r="843" spans="1:11">
      <c r="A843" s="47">
        <v>835</v>
      </c>
      <c r="B843" s="47">
        <v>318</v>
      </c>
      <c r="C843" s="47"/>
      <c r="D843" s="47"/>
      <c r="E843" s="49"/>
      <c r="F843" s="49"/>
      <c r="G843" s="49" t="s">
        <v>1845</v>
      </c>
      <c r="H843" s="47" t="s">
        <v>1846</v>
      </c>
      <c r="I843" s="43" t="str">
        <f t="shared" si="46"/>
        <v>自制设备</v>
      </c>
      <c r="J843" s="44" t="str">
        <f t="shared" si="47"/>
        <v>自制设备 蒸煮罐L</v>
      </c>
      <c r="K843" s="43">
        <f>COUNTIF($J$2:J843,J843)</f>
        <v>1</v>
      </c>
    </row>
    <row r="844" spans="1:11">
      <c r="A844" s="47">
        <v>836</v>
      </c>
      <c r="B844" s="47">
        <v>319</v>
      </c>
      <c r="C844" s="47"/>
      <c r="D844" s="47"/>
      <c r="E844" s="49"/>
      <c r="F844" s="49"/>
      <c r="G844" s="49" t="s">
        <v>1847</v>
      </c>
      <c r="H844" s="47" t="s">
        <v>1848</v>
      </c>
      <c r="I844" s="43" t="str">
        <f t="shared" si="46"/>
        <v>自制设备</v>
      </c>
      <c r="J844" s="44" t="str">
        <f t="shared" si="47"/>
        <v>自制设备 蒸煮罐W</v>
      </c>
      <c r="K844" s="43">
        <f>COUNTIF($J$2:J844,J844)</f>
        <v>1</v>
      </c>
    </row>
    <row r="845" spans="1:11">
      <c r="A845" s="47">
        <v>837</v>
      </c>
      <c r="B845" s="47">
        <v>1</v>
      </c>
      <c r="C845" s="47" t="s">
        <v>123</v>
      </c>
      <c r="D845" s="47"/>
      <c r="E845" s="47"/>
      <c r="F845" s="49"/>
      <c r="G845" s="49" t="s">
        <v>1849</v>
      </c>
      <c r="H845" s="47" t="s">
        <v>1850</v>
      </c>
      <c r="I845" s="43" t="str">
        <f>IF(COUNTA(C845)=1,C845,#REF!)</f>
        <v>通用件</v>
      </c>
      <c r="J845" s="44" t="str">
        <f t="shared" ref="J845:J907" si="48">CONCATENATE(I845," ",G845)</f>
        <v>通用件 传感接头</v>
      </c>
      <c r="K845" s="43">
        <f>COUNTIF($J$2:J845,J845)</f>
        <v>1</v>
      </c>
    </row>
    <row r="846" spans="1:11">
      <c r="A846" s="47">
        <v>838</v>
      </c>
      <c r="B846" s="47">
        <v>2</v>
      </c>
      <c r="C846" s="47"/>
      <c r="D846" s="47"/>
      <c r="E846" s="47"/>
      <c r="F846" s="49"/>
      <c r="G846" s="49" t="s">
        <v>1851</v>
      </c>
      <c r="H846" s="47" t="s">
        <v>1852</v>
      </c>
      <c r="I846" s="43" t="str">
        <f t="shared" ref="I846:I907" si="49">IF(COUNTA(C846)=1,C846,I845)</f>
        <v>通用件</v>
      </c>
      <c r="J846" s="44" t="str">
        <f t="shared" si="48"/>
        <v>通用件 爬梯</v>
      </c>
      <c r="K846" s="43">
        <f>COUNTIF($J$2:J846,J846)</f>
        <v>1</v>
      </c>
    </row>
    <row r="847" spans="1:11">
      <c r="A847" s="47">
        <v>839</v>
      </c>
      <c r="B847" s="47">
        <v>3</v>
      </c>
      <c r="C847" s="47"/>
      <c r="D847" s="47"/>
      <c r="E847" s="47"/>
      <c r="F847" s="49"/>
      <c r="G847" s="49" t="s">
        <v>1853</v>
      </c>
      <c r="H847" s="47" t="s">
        <v>1854</v>
      </c>
      <c r="I847" s="43" t="str">
        <f t="shared" si="49"/>
        <v>通用件</v>
      </c>
      <c r="J847" s="44" t="str">
        <f t="shared" si="48"/>
        <v>通用件 铭牌架</v>
      </c>
      <c r="K847" s="43">
        <f>COUNTIF($J$2:J847,J847)</f>
        <v>1</v>
      </c>
    </row>
    <row r="848" spans="1:11">
      <c r="A848" s="47">
        <v>840</v>
      </c>
      <c r="B848" s="47">
        <v>4</v>
      </c>
      <c r="C848" s="47"/>
      <c r="D848" s="47"/>
      <c r="E848" s="49"/>
      <c r="F848" s="49"/>
      <c r="G848" s="49" t="s">
        <v>1855</v>
      </c>
      <c r="H848" s="47" t="s">
        <v>1856</v>
      </c>
      <c r="I848" s="43" t="str">
        <f t="shared" si="49"/>
        <v>通用件</v>
      </c>
      <c r="J848" s="44" t="str">
        <f t="shared" si="48"/>
        <v>通用件 液位调节套</v>
      </c>
      <c r="K848" s="43">
        <f>COUNTIF($J$2:J848,J848)</f>
        <v>1</v>
      </c>
    </row>
    <row r="849" spans="1:11">
      <c r="A849" s="47">
        <v>841</v>
      </c>
      <c r="B849" s="47">
        <v>5</v>
      </c>
      <c r="C849" s="47"/>
      <c r="D849" s="47"/>
      <c r="E849" s="49"/>
      <c r="F849" s="49"/>
      <c r="G849" s="49" t="s">
        <v>1857</v>
      </c>
      <c r="H849" s="47" t="s">
        <v>1858</v>
      </c>
      <c r="I849" s="43" t="str">
        <f t="shared" si="49"/>
        <v>通用件</v>
      </c>
      <c r="J849" s="44" t="str">
        <f t="shared" si="48"/>
        <v>通用件 浮球阀座</v>
      </c>
      <c r="K849" s="43">
        <f>COUNTIF($J$2:J849,J849)</f>
        <v>1</v>
      </c>
    </row>
    <row r="850" spans="1:11">
      <c r="A850" s="47">
        <v>842</v>
      </c>
      <c r="B850" s="47">
        <v>6</v>
      </c>
      <c r="C850" s="47"/>
      <c r="D850" s="47"/>
      <c r="E850" s="49"/>
      <c r="F850" s="49"/>
      <c r="G850" s="49" t="s">
        <v>1859</v>
      </c>
      <c r="H850" s="47" t="s">
        <v>1860</v>
      </c>
      <c r="I850" s="43" t="str">
        <f t="shared" si="49"/>
        <v>通用件</v>
      </c>
      <c r="J850" s="44" t="str">
        <f t="shared" si="48"/>
        <v>通用件 浮标液位计</v>
      </c>
      <c r="K850" s="43">
        <f>COUNTIF($J$2:J850,J850)</f>
        <v>1</v>
      </c>
    </row>
    <row r="851" spans="1:11">
      <c r="A851" s="47">
        <v>843</v>
      </c>
      <c r="B851" s="47">
        <v>7</v>
      </c>
      <c r="C851" s="47"/>
      <c r="D851" s="47"/>
      <c r="E851" s="49"/>
      <c r="F851" s="49"/>
      <c r="G851" s="49" t="s">
        <v>1861</v>
      </c>
      <c r="H851" s="47" t="s">
        <v>1862</v>
      </c>
      <c r="I851" s="43" t="str">
        <f t="shared" si="49"/>
        <v>通用件</v>
      </c>
      <c r="J851" s="44" t="str">
        <f t="shared" si="48"/>
        <v>通用件 凸缘搅拌轴底座</v>
      </c>
      <c r="K851" s="43">
        <f>COUNTIF($J$2:J851,J851)</f>
        <v>1</v>
      </c>
    </row>
    <row r="852" spans="1:11">
      <c r="A852" s="47">
        <v>844</v>
      </c>
      <c r="B852" s="47">
        <v>8</v>
      </c>
      <c r="C852" s="47"/>
      <c r="D852" s="47"/>
      <c r="E852" s="49"/>
      <c r="F852" s="49"/>
      <c r="G852" s="49" t="s">
        <v>1863</v>
      </c>
      <c r="H852" s="47" t="s">
        <v>1864</v>
      </c>
      <c r="I852" s="43" t="str">
        <f t="shared" si="49"/>
        <v>通用件</v>
      </c>
      <c r="J852" s="44" t="str">
        <f t="shared" si="48"/>
        <v>通用件 搅拌联轴器</v>
      </c>
      <c r="K852" s="43">
        <f>COUNTIF($J$2:J852,J852)</f>
        <v>1</v>
      </c>
    </row>
    <row r="853" spans="1:11">
      <c r="A853" s="47">
        <v>845</v>
      </c>
      <c r="B853" s="47">
        <v>9</v>
      </c>
      <c r="C853" s="47"/>
      <c r="D853" s="47"/>
      <c r="E853" s="49"/>
      <c r="F853" s="49"/>
      <c r="G853" s="49" t="s">
        <v>1865</v>
      </c>
      <c r="H853" s="47" t="s">
        <v>1866</v>
      </c>
      <c r="I853" s="43" t="str">
        <f t="shared" si="49"/>
        <v>通用件</v>
      </c>
      <c r="J853" s="44" t="str">
        <f t="shared" si="48"/>
        <v>通用件 传动链轮</v>
      </c>
      <c r="K853" s="43">
        <f>COUNTIF($J$2:J853,J853)</f>
        <v>1</v>
      </c>
    </row>
    <row r="854" spans="1:11">
      <c r="A854" s="47">
        <v>846</v>
      </c>
      <c r="B854" s="47">
        <v>10</v>
      </c>
      <c r="C854" s="47"/>
      <c r="D854" s="47"/>
      <c r="E854" s="49"/>
      <c r="F854" s="49"/>
      <c r="G854" s="49" t="s">
        <v>1867</v>
      </c>
      <c r="H854" s="47" t="s">
        <v>1868</v>
      </c>
      <c r="I854" s="43" t="str">
        <f t="shared" si="49"/>
        <v>通用件</v>
      </c>
      <c r="J854" s="44" t="str">
        <f t="shared" si="48"/>
        <v>通用件 输送链轮</v>
      </c>
      <c r="K854" s="43">
        <f>COUNTIF($J$2:J854,J854)</f>
        <v>1</v>
      </c>
    </row>
    <row r="855" spans="1:11">
      <c r="A855" s="47">
        <v>847</v>
      </c>
      <c r="B855" s="47">
        <v>11</v>
      </c>
      <c r="C855" s="47"/>
      <c r="D855" s="47"/>
      <c r="E855" s="49"/>
      <c r="F855" s="49"/>
      <c r="G855" s="49" t="s">
        <v>1869</v>
      </c>
      <c r="H855" s="47" t="s">
        <v>1870</v>
      </c>
      <c r="I855" s="43" t="str">
        <f t="shared" si="49"/>
        <v>通用件</v>
      </c>
      <c r="J855" s="44" t="str">
        <f t="shared" si="48"/>
        <v>通用件 取样口</v>
      </c>
      <c r="K855" s="43">
        <f>COUNTIF($J$2:J855,J855)</f>
        <v>1</v>
      </c>
    </row>
    <row r="856" spans="1:11">
      <c r="A856" s="47">
        <v>848</v>
      </c>
      <c r="B856" s="47">
        <v>12</v>
      </c>
      <c r="C856" s="47"/>
      <c r="D856" s="47"/>
      <c r="E856" s="49"/>
      <c r="F856" s="49"/>
      <c r="G856" s="49" t="s">
        <v>1871</v>
      </c>
      <c r="H856" s="47" t="s">
        <v>1872</v>
      </c>
      <c r="I856" s="43" t="str">
        <f t="shared" si="49"/>
        <v>通用件</v>
      </c>
      <c r="J856" s="44" t="str">
        <f t="shared" si="48"/>
        <v>通用件 平板视镜</v>
      </c>
      <c r="K856" s="43">
        <f>COUNTIF($J$2:J856,J856)</f>
        <v>1</v>
      </c>
    </row>
    <row r="857" spans="1:11">
      <c r="A857" s="47">
        <v>849</v>
      </c>
      <c r="B857" s="47">
        <v>13</v>
      </c>
      <c r="C857" s="47"/>
      <c r="D857" s="47"/>
      <c r="E857" s="49"/>
      <c r="F857" s="49"/>
      <c r="G857" s="49" t="s">
        <v>1873</v>
      </c>
      <c r="H857" s="47" t="s">
        <v>1874</v>
      </c>
      <c r="I857" s="43" t="str">
        <f t="shared" si="49"/>
        <v>通用件</v>
      </c>
      <c r="J857" s="44" t="str">
        <f t="shared" si="48"/>
        <v>通用件 刮刀视镜</v>
      </c>
      <c r="K857" s="43">
        <f>COUNTIF($J$2:J857,J857)</f>
        <v>1</v>
      </c>
    </row>
    <row r="858" spans="1:11">
      <c r="A858" s="47">
        <v>850</v>
      </c>
      <c r="B858" s="47">
        <v>14</v>
      </c>
      <c r="C858" s="47"/>
      <c r="D858" s="47"/>
      <c r="E858" s="49"/>
      <c r="F858" s="49"/>
      <c r="G858" s="49" t="s">
        <v>1875</v>
      </c>
      <c r="H858" s="47" t="s">
        <v>1876</v>
      </c>
      <c r="I858" s="43" t="str">
        <f t="shared" si="49"/>
        <v>通用件</v>
      </c>
      <c r="J858" s="44" t="str">
        <f t="shared" si="48"/>
        <v>通用件 方视镜</v>
      </c>
      <c r="K858" s="43">
        <f>COUNTIF($J$2:J858,J858)</f>
        <v>1</v>
      </c>
    </row>
    <row r="859" spans="1:11">
      <c r="A859" s="47">
        <v>851</v>
      </c>
      <c r="B859" s="47">
        <v>15</v>
      </c>
      <c r="C859" s="47"/>
      <c r="D859" s="47"/>
      <c r="E859" s="49"/>
      <c r="F859" s="49"/>
      <c r="G859" s="49" t="s">
        <v>1877</v>
      </c>
      <c r="H859" s="47" t="s">
        <v>1878</v>
      </c>
      <c r="I859" s="43" t="str">
        <f t="shared" si="49"/>
        <v>通用件</v>
      </c>
      <c r="J859" s="44" t="str">
        <f t="shared" si="48"/>
        <v>通用件 常压人孔</v>
      </c>
      <c r="K859" s="43">
        <f>COUNTIF($J$2:J859,J859)</f>
        <v>1</v>
      </c>
    </row>
    <row r="860" spans="1:11">
      <c r="A860" s="47">
        <v>852</v>
      </c>
      <c r="B860" s="47">
        <v>16</v>
      </c>
      <c r="C860" s="47"/>
      <c r="D860" s="47"/>
      <c r="E860" s="49"/>
      <c r="F860" s="49"/>
      <c r="G860" s="49" t="s">
        <v>1879</v>
      </c>
      <c r="H860" s="47" t="s">
        <v>1880</v>
      </c>
      <c r="I860" s="43" t="str">
        <f t="shared" si="49"/>
        <v>通用件</v>
      </c>
      <c r="J860" s="44" t="str">
        <f t="shared" si="48"/>
        <v>通用件 回转盖板式平焊法兰人孔</v>
      </c>
      <c r="K860" s="43">
        <f>COUNTIF($J$2:J860,J860)</f>
        <v>1</v>
      </c>
    </row>
    <row r="861" spans="1:11">
      <c r="A861" s="47">
        <v>853</v>
      </c>
      <c r="B861" s="47">
        <v>17</v>
      </c>
      <c r="C861" s="47"/>
      <c r="D861" s="47"/>
      <c r="E861" s="49"/>
      <c r="F861" s="49"/>
      <c r="G861" s="49" t="s">
        <v>1881</v>
      </c>
      <c r="H861" s="47" t="s">
        <v>1882</v>
      </c>
      <c r="I861" s="43" t="str">
        <f t="shared" si="49"/>
        <v>通用件</v>
      </c>
      <c r="J861" s="44" t="str">
        <f t="shared" si="48"/>
        <v>通用件 回转拱盖快开人孔</v>
      </c>
      <c r="K861" s="43">
        <f>COUNTIF($J$2:J861,J861)</f>
        <v>1</v>
      </c>
    </row>
    <row r="862" spans="1:11">
      <c r="A862" s="47">
        <v>854</v>
      </c>
      <c r="B862" s="47">
        <v>18</v>
      </c>
      <c r="C862" s="47"/>
      <c r="D862" s="47"/>
      <c r="E862" s="49"/>
      <c r="F862" s="49"/>
      <c r="G862" s="49" t="s">
        <v>1883</v>
      </c>
      <c r="H862" s="47" t="s">
        <v>1884</v>
      </c>
      <c r="I862" s="43" t="str">
        <f t="shared" si="49"/>
        <v>通用件</v>
      </c>
      <c r="J862" s="44" t="str">
        <f t="shared" si="48"/>
        <v>通用件 快开人孔</v>
      </c>
      <c r="K862" s="43">
        <f>COUNTIF($J$2:J862,J862)</f>
        <v>1</v>
      </c>
    </row>
    <row r="863" spans="1:11">
      <c r="A863" s="47">
        <v>855</v>
      </c>
      <c r="B863" s="47">
        <v>19</v>
      </c>
      <c r="C863" s="47"/>
      <c r="D863" s="47"/>
      <c r="E863" s="49"/>
      <c r="F863" s="49"/>
      <c r="G863" s="49" t="s">
        <v>1885</v>
      </c>
      <c r="H863" s="47" t="s">
        <v>1886</v>
      </c>
      <c r="I863" s="43" t="str">
        <f t="shared" si="49"/>
        <v>通用件</v>
      </c>
      <c r="J863" s="44" t="str">
        <f t="shared" si="48"/>
        <v>通用件 清理人孔</v>
      </c>
      <c r="K863" s="43">
        <f>COUNTIF($J$2:J863,J863)</f>
        <v>1</v>
      </c>
    </row>
    <row r="864" spans="1:11">
      <c r="A864" s="47">
        <v>856</v>
      </c>
      <c r="B864" s="47">
        <v>20</v>
      </c>
      <c r="C864" s="47"/>
      <c r="D864" s="47"/>
      <c r="E864" s="49"/>
      <c r="F864" s="49"/>
      <c r="G864" s="49" t="s">
        <v>1887</v>
      </c>
      <c r="H864" s="47" t="s">
        <v>1888</v>
      </c>
      <c r="I864" s="43" t="str">
        <f t="shared" si="49"/>
        <v>通用件</v>
      </c>
      <c r="J864" s="44" t="str">
        <f t="shared" si="48"/>
        <v>通用件 油斗人孔</v>
      </c>
      <c r="K864" s="43">
        <f>COUNTIF($J$2:J864,J864)</f>
        <v>1</v>
      </c>
    </row>
    <row r="865" spans="1:11">
      <c r="A865" s="47">
        <v>857</v>
      </c>
      <c r="B865" s="47">
        <v>21</v>
      </c>
      <c r="C865" s="47"/>
      <c r="D865" s="47"/>
      <c r="E865" s="49"/>
      <c r="F865" s="49"/>
      <c r="G865" s="49" t="s">
        <v>1889</v>
      </c>
      <c r="H865" s="47" t="s">
        <v>1890</v>
      </c>
      <c r="I865" s="43" t="str">
        <f t="shared" si="49"/>
        <v>通用件</v>
      </c>
      <c r="J865" s="44" t="str">
        <f t="shared" si="48"/>
        <v>通用件 油斗手孔</v>
      </c>
      <c r="K865" s="43">
        <f>COUNTIF($J$2:J865,J865)</f>
        <v>1</v>
      </c>
    </row>
    <row r="866" spans="1:11">
      <c r="A866" s="47">
        <v>858</v>
      </c>
      <c r="B866" s="47">
        <v>22</v>
      </c>
      <c r="C866" s="47"/>
      <c r="D866" s="47"/>
      <c r="E866" s="49"/>
      <c r="F866" s="49"/>
      <c r="G866" s="49" t="s">
        <v>1891</v>
      </c>
      <c r="H866" s="47" t="s">
        <v>1892</v>
      </c>
      <c r="I866" s="43" t="str">
        <f t="shared" si="49"/>
        <v>通用件</v>
      </c>
      <c r="J866" s="44" t="str">
        <f t="shared" si="48"/>
        <v>通用件 常压手孔</v>
      </c>
      <c r="K866" s="43">
        <f>COUNTIF($J$2:J866,J866)</f>
        <v>1</v>
      </c>
    </row>
    <row r="867" spans="1:11">
      <c r="A867" s="47">
        <v>859</v>
      </c>
      <c r="B867" s="47">
        <v>23</v>
      </c>
      <c r="C867" s="47"/>
      <c r="D867" s="47"/>
      <c r="E867" s="49"/>
      <c r="F867" s="49"/>
      <c r="G867" s="49" t="s">
        <v>1893</v>
      </c>
      <c r="H867" s="47" t="s">
        <v>1894</v>
      </c>
      <c r="I867" s="43" t="str">
        <f t="shared" si="49"/>
        <v>通用件</v>
      </c>
      <c r="J867" s="44" t="str">
        <f t="shared" si="48"/>
        <v>通用件 铭牌</v>
      </c>
      <c r="K867" s="43">
        <f>COUNTIF($J$2:J867,J867)</f>
        <v>1</v>
      </c>
    </row>
    <row r="868" spans="1:11">
      <c r="A868" s="47">
        <v>860</v>
      </c>
      <c r="B868" s="47">
        <v>24</v>
      </c>
      <c r="C868" s="47"/>
      <c r="D868" s="47"/>
      <c r="E868" s="49"/>
      <c r="F868" s="49"/>
      <c r="G868" s="49" t="s">
        <v>1895</v>
      </c>
      <c r="H868" s="47" t="s">
        <v>1896</v>
      </c>
      <c r="I868" s="43" t="str">
        <f t="shared" si="49"/>
        <v>通用件</v>
      </c>
      <c r="J868" s="44" t="str">
        <f t="shared" si="48"/>
        <v>通用件 管道视镜</v>
      </c>
      <c r="K868" s="43">
        <f>COUNTIF($J$2:J868,J868)</f>
        <v>1</v>
      </c>
    </row>
    <row r="869" spans="1:11">
      <c r="A869" s="47">
        <v>861</v>
      </c>
      <c r="B869" s="47">
        <v>25</v>
      </c>
      <c r="C869" s="47"/>
      <c r="D869" s="47"/>
      <c r="E869" s="49"/>
      <c r="F869" s="49"/>
      <c r="G869" s="49" t="s">
        <v>1897</v>
      </c>
      <c r="H869" s="47" t="s">
        <v>1898</v>
      </c>
      <c r="I869" s="43" t="str">
        <f t="shared" si="49"/>
        <v>通用件</v>
      </c>
      <c r="J869" s="44" t="str">
        <f t="shared" si="48"/>
        <v>通用件 方形检修门</v>
      </c>
      <c r="K869" s="43">
        <f>COUNTIF($J$2:J869,J869)</f>
        <v>1</v>
      </c>
    </row>
    <row r="870" spans="1:11">
      <c r="A870" s="47">
        <v>862</v>
      </c>
      <c r="B870" s="47">
        <v>26</v>
      </c>
      <c r="C870" s="47"/>
      <c r="D870" s="47"/>
      <c r="E870" s="49"/>
      <c r="F870" s="49"/>
      <c r="G870" s="49" t="s">
        <v>1899</v>
      </c>
      <c r="H870" s="47" t="s">
        <v>1900</v>
      </c>
      <c r="I870" s="43" t="str">
        <f t="shared" si="49"/>
        <v>通用件</v>
      </c>
      <c r="J870" s="44" t="str">
        <f t="shared" si="48"/>
        <v>通用件 方形密封检修门</v>
      </c>
      <c r="K870" s="43">
        <f>COUNTIF($J$2:J870,J870)</f>
        <v>1</v>
      </c>
    </row>
    <row r="871" spans="1:11">
      <c r="A871" s="47">
        <v>863</v>
      </c>
      <c r="B871" s="47">
        <v>27</v>
      </c>
      <c r="C871" s="47"/>
      <c r="D871" s="47"/>
      <c r="E871" s="49"/>
      <c r="F871" s="49"/>
      <c r="G871" s="49" t="s">
        <v>1901</v>
      </c>
      <c r="H871" s="47" t="s">
        <v>1902</v>
      </c>
      <c r="I871" s="43" t="str">
        <f t="shared" si="49"/>
        <v>通用件</v>
      </c>
      <c r="J871" s="44" t="str">
        <f t="shared" si="48"/>
        <v>通用件 圆形检修门</v>
      </c>
      <c r="K871" s="43">
        <f>COUNTIF($J$2:J871,J871)</f>
        <v>1</v>
      </c>
    </row>
    <row r="872" spans="1:11">
      <c r="A872" s="47">
        <v>864</v>
      </c>
      <c r="B872" s="47">
        <v>28</v>
      </c>
      <c r="C872" s="47"/>
      <c r="D872" s="47"/>
      <c r="E872" s="49"/>
      <c r="F872" s="49"/>
      <c r="G872" s="49" t="s">
        <v>1903</v>
      </c>
      <c r="H872" s="47" t="s">
        <v>1904</v>
      </c>
      <c r="I872" s="43" t="str">
        <f t="shared" si="49"/>
        <v>通用件</v>
      </c>
      <c r="J872" s="44" t="str">
        <f t="shared" si="48"/>
        <v>通用件 圆形密封检修门</v>
      </c>
      <c r="K872" s="43">
        <f>COUNTIF($J$2:J872,J872)</f>
        <v>1</v>
      </c>
    </row>
    <row r="873" spans="1:11">
      <c r="A873" s="47">
        <v>865</v>
      </c>
      <c r="B873" s="47">
        <v>29</v>
      </c>
      <c r="C873" s="47"/>
      <c r="D873" s="47"/>
      <c r="E873" s="49"/>
      <c r="F873" s="49"/>
      <c r="G873" s="49" t="s">
        <v>1905</v>
      </c>
      <c r="H873" s="47" t="s">
        <v>1906</v>
      </c>
      <c r="I873" s="43" t="str">
        <f t="shared" si="49"/>
        <v>通用件</v>
      </c>
      <c r="J873" s="44" t="str">
        <f t="shared" si="48"/>
        <v>通用件 单面视镜</v>
      </c>
      <c r="K873" s="43">
        <f>COUNTIF($J$2:J873,J873)</f>
        <v>1</v>
      </c>
    </row>
    <row r="874" spans="1:11">
      <c r="A874" s="47">
        <v>866</v>
      </c>
      <c r="B874" s="47">
        <v>30</v>
      </c>
      <c r="C874" s="47"/>
      <c r="D874" s="47"/>
      <c r="E874" s="49"/>
      <c r="F874" s="49"/>
      <c r="G874" s="49" t="s">
        <v>1907</v>
      </c>
      <c r="H874" s="47" t="s">
        <v>1908</v>
      </c>
      <c r="I874" s="43" t="str">
        <f t="shared" si="49"/>
        <v>通用件</v>
      </c>
      <c r="J874" s="44" t="str">
        <f t="shared" si="48"/>
        <v>通用件 风网管道</v>
      </c>
      <c r="K874" s="43">
        <f>COUNTIF($J$2:J874,J874)</f>
        <v>1</v>
      </c>
    </row>
    <row r="875" spans="1:11">
      <c r="A875" s="47">
        <v>867</v>
      </c>
      <c r="B875" s="47">
        <v>31</v>
      </c>
      <c r="C875" s="47"/>
      <c r="D875" s="47"/>
      <c r="E875" s="49"/>
      <c r="F875" s="49"/>
      <c r="G875" s="49" t="s">
        <v>1909</v>
      </c>
      <c r="H875" s="47" t="s">
        <v>1910</v>
      </c>
      <c r="I875" s="43" t="str">
        <f t="shared" si="49"/>
        <v>通用件</v>
      </c>
      <c r="J875" s="44" t="str">
        <f t="shared" si="48"/>
        <v>通用件 风网法兰</v>
      </c>
      <c r="K875" s="43">
        <f>COUNTIF($J$2:J875,J875)</f>
        <v>1</v>
      </c>
    </row>
    <row r="876" spans="1:11">
      <c r="A876" s="47">
        <v>868</v>
      </c>
      <c r="B876" s="47">
        <v>32</v>
      </c>
      <c r="C876" s="47"/>
      <c r="D876" s="47"/>
      <c r="E876" s="49"/>
      <c r="F876" s="49"/>
      <c r="G876" s="49" t="s">
        <v>1911</v>
      </c>
      <c r="H876" s="47" t="s">
        <v>1912</v>
      </c>
      <c r="I876" s="43" t="str">
        <f t="shared" si="49"/>
        <v>通用件</v>
      </c>
      <c r="J876" s="44" t="str">
        <f t="shared" si="48"/>
        <v>通用件 风网同心圆变圆</v>
      </c>
      <c r="K876" s="43">
        <f>COUNTIF($J$2:J876,J876)</f>
        <v>1</v>
      </c>
    </row>
    <row r="877" spans="1:11">
      <c r="A877" s="47">
        <v>869</v>
      </c>
      <c r="B877" s="47">
        <v>33</v>
      </c>
      <c r="C877" s="47"/>
      <c r="D877" s="47"/>
      <c r="E877" s="49"/>
      <c r="F877" s="49"/>
      <c r="G877" s="49" t="s">
        <v>1913</v>
      </c>
      <c r="H877" s="47" t="s">
        <v>1914</v>
      </c>
      <c r="I877" s="43" t="str">
        <f t="shared" si="49"/>
        <v>通用件</v>
      </c>
      <c r="J877" s="44" t="str">
        <f t="shared" si="48"/>
        <v>通用件 风网方变圆</v>
      </c>
      <c r="K877" s="43">
        <f>COUNTIF($J$2:J877,J877)</f>
        <v>1</v>
      </c>
    </row>
    <row r="878" spans="1:11">
      <c r="A878" s="47">
        <v>870</v>
      </c>
      <c r="B878" s="47">
        <v>34</v>
      </c>
      <c r="C878" s="47"/>
      <c r="D878" s="47"/>
      <c r="E878" s="49"/>
      <c r="F878" s="49"/>
      <c r="G878" s="49" t="s">
        <v>1915</v>
      </c>
      <c r="H878" s="47" t="s">
        <v>1916</v>
      </c>
      <c r="I878" s="43" t="str">
        <f t="shared" si="49"/>
        <v>通用件</v>
      </c>
      <c r="J878" s="44" t="str">
        <f t="shared" si="48"/>
        <v>通用件 风网圆弯头</v>
      </c>
      <c r="K878" s="43">
        <f>COUNTIF($J$2:J878,J878)</f>
        <v>1</v>
      </c>
    </row>
    <row r="879" spans="1:11">
      <c r="A879" s="47">
        <v>871</v>
      </c>
      <c r="B879" s="47">
        <v>35</v>
      </c>
      <c r="C879" s="47"/>
      <c r="D879" s="47"/>
      <c r="E879" s="49"/>
      <c r="F879" s="49"/>
      <c r="G879" s="49" t="s">
        <v>1917</v>
      </c>
      <c r="H879" s="47" t="s">
        <v>1918</v>
      </c>
      <c r="I879" s="43" t="str">
        <f t="shared" si="49"/>
        <v>通用件</v>
      </c>
      <c r="J879" s="44" t="str">
        <f t="shared" si="48"/>
        <v>通用件 风网旋转弯头</v>
      </c>
      <c r="K879" s="43">
        <f>COUNTIF($J$2:J879,J879)</f>
        <v>1</v>
      </c>
    </row>
    <row r="880" spans="1:11">
      <c r="A880" s="47">
        <v>872</v>
      </c>
      <c r="B880" s="47">
        <v>36</v>
      </c>
      <c r="C880" s="47"/>
      <c r="D880" s="47"/>
      <c r="E880" s="49"/>
      <c r="F880" s="49"/>
      <c r="G880" s="49" t="s">
        <v>1919</v>
      </c>
      <c r="H880" s="47" t="s">
        <v>1920</v>
      </c>
      <c r="I880" s="43" t="str">
        <f t="shared" si="49"/>
        <v>通用件</v>
      </c>
      <c r="J880" s="44" t="str">
        <f t="shared" si="48"/>
        <v>通用件 风网斜三通</v>
      </c>
      <c r="K880" s="43">
        <f>COUNTIF($J$2:J880,J880)</f>
        <v>1</v>
      </c>
    </row>
    <row r="881" spans="1:11">
      <c r="A881" s="47">
        <v>873</v>
      </c>
      <c r="B881" s="47">
        <v>37</v>
      </c>
      <c r="C881" s="47"/>
      <c r="D881" s="47"/>
      <c r="E881" s="49"/>
      <c r="F881" s="49"/>
      <c r="G881" s="49" t="s">
        <v>1921</v>
      </c>
      <c r="H881" s="47" t="s">
        <v>1922</v>
      </c>
      <c r="I881" s="43" t="str">
        <f t="shared" si="49"/>
        <v>通用件</v>
      </c>
      <c r="J881" s="44" t="str">
        <f t="shared" si="48"/>
        <v>通用件 风网三通</v>
      </c>
      <c r="K881" s="43">
        <f>COUNTIF($J$2:J881,J881)</f>
        <v>1</v>
      </c>
    </row>
    <row r="882" spans="1:11">
      <c r="A882" s="47">
        <v>874</v>
      </c>
      <c r="B882" s="47">
        <v>38</v>
      </c>
      <c r="C882" s="47"/>
      <c r="D882" s="47"/>
      <c r="E882" s="49"/>
      <c r="F882" s="49"/>
      <c r="G882" s="49" t="s">
        <v>1923</v>
      </c>
      <c r="H882" s="47" t="s">
        <v>1924</v>
      </c>
      <c r="I882" s="43" t="str">
        <f t="shared" si="49"/>
        <v>通用件</v>
      </c>
      <c r="J882" s="44" t="str">
        <f t="shared" si="48"/>
        <v>通用件 风网耐磨方弯头</v>
      </c>
      <c r="K882" s="43">
        <f>COUNTIF($J$2:J882,J882)</f>
        <v>1</v>
      </c>
    </row>
    <row r="883" spans="1:11">
      <c r="A883" s="47">
        <v>875</v>
      </c>
      <c r="B883" s="47">
        <v>39</v>
      </c>
      <c r="C883" s="47"/>
      <c r="D883" s="47"/>
      <c r="E883" s="49"/>
      <c r="F883" s="49"/>
      <c r="G883" s="49" t="s">
        <v>1925</v>
      </c>
      <c r="H883" s="47" t="s">
        <v>1926</v>
      </c>
      <c r="I883" s="43" t="str">
        <f t="shared" si="49"/>
        <v>通用件</v>
      </c>
      <c r="J883" s="44" t="str">
        <f t="shared" si="48"/>
        <v>通用件 溜管直段</v>
      </c>
      <c r="K883" s="43">
        <f>COUNTIF($J$2:J883,J883)</f>
        <v>1</v>
      </c>
    </row>
    <row r="884" spans="1:11">
      <c r="A884" s="47">
        <v>876</v>
      </c>
      <c r="B884" s="47">
        <v>40</v>
      </c>
      <c r="C884" s="47"/>
      <c r="D884" s="47"/>
      <c r="E884" s="49"/>
      <c r="F884" s="49"/>
      <c r="G884" s="49" t="s">
        <v>1927</v>
      </c>
      <c r="H884" s="47" t="s">
        <v>1928</v>
      </c>
      <c r="I884" s="43" t="str">
        <f t="shared" si="49"/>
        <v>通用件</v>
      </c>
      <c r="J884" s="44" t="str">
        <f t="shared" si="48"/>
        <v>通用件 溜管弯头</v>
      </c>
      <c r="K884" s="43">
        <f>COUNTIF($J$2:J884,J884)</f>
        <v>1</v>
      </c>
    </row>
    <row r="885" spans="1:11">
      <c r="A885" s="47">
        <v>877</v>
      </c>
      <c r="B885" s="47">
        <v>41</v>
      </c>
      <c r="C885" s="47"/>
      <c r="D885" s="47"/>
      <c r="E885" s="49"/>
      <c r="F885" s="49"/>
      <c r="G885" s="49" t="s">
        <v>1929</v>
      </c>
      <c r="H885" s="47" t="s">
        <v>1930</v>
      </c>
      <c r="I885" s="43" t="str">
        <f t="shared" si="49"/>
        <v>通用件</v>
      </c>
      <c r="J885" s="44" t="str">
        <f t="shared" si="48"/>
        <v>通用件 缓冲溜管</v>
      </c>
      <c r="K885" s="43">
        <f>COUNTIF($J$2:J885,J885)</f>
        <v>1</v>
      </c>
    </row>
    <row r="886" spans="1:11">
      <c r="A886" s="47">
        <v>878</v>
      </c>
      <c r="B886" s="47">
        <v>42</v>
      </c>
      <c r="C886" s="47"/>
      <c r="D886" s="47"/>
      <c r="E886" s="49"/>
      <c r="F886" s="49"/>
      <c r="G886" s="49" t="s">
        <v>1931</v>
      </c>
      <c r="H886" s="47" t="s">
        <v>1932</v>
      </c>
      <c r="I886" s="43" t="str">
        <f t="shared" si="49"/>
        <v>通用件</v>
      </c>
      <c r="J886" s="44" t="str">
        <f t="shared" si="48"/>
        <v>通用件 三通溜管</v>
      </c>
      <c r="K886" s="43">
        <f>COUNTIF($J$2:J886,J886)</f>
        <v>1</v>
      </c>
    </row>
    <row r="887" spans="1:11">
      <c r="A887" s="47">
        <v>879</v>
      </c>
      <c r="B887" s="47">
        <v>43</v>
      </c>
      <c r="C887" s="47"/>
      <c r="D887" s="47"/>
      <c r="E887" s="49"/>
      <c r="F887" s="49"/>
      <c r="G887" s="49" t="s">
        <v>1933</v>
      </c>
      <c r="H887" s="47" t="s">
        <v>1934</v>
      </c>
      <c r="I887" s="43" t="str">
        <f t="shared" si="49"/>
        <v>通用件</v>
      </c>
      <c r="J887" s="44" t="str">
        <f t="shared" si="48"/>
        <v>通用件 对称三通溜管</v>
      </c>
      <c r="K887" s="43">
        <f>COUNTIF($J$2:J887,J887)</f>
        <v>1</v>
      </c>
    </row>
    <row r="888" spans="1:11">
      <c r="A888" s="47">
        <v>880</v>
      </c>
      <c r="B888" s="47">
        <v>44</v>
      </c>
      <c r="C888" s="47"/>
      <c r="D888" s="47"/>
      <c r="E888" s="49"/>
      <c r="F888" s="49"/>
      <c r="G888" s="49" t="s">
        <v>1935</v>
      </c>
      <c r="H888" s="47" t="s">
        <v>1936</v>
      </c>
      <c r="I888" s="43" t="str">
        <f t="shared" si="49"/>
        <v>通用件</v>
      </c>
      <c r="J888" s="44" t="str">
        <f t="shared" si="48"/>
        <v>通用件 四通溜管</v>
      </c>
      <c r="K888" s="43">
        <f>COUNTIF($J$2:J888,J888)</f>
        <v>1</v>
      </c>
    </row>
    <row r="889" spans="1:11">
      <c r="A889" s="47">
        <v>881</v>
      </c>
      <c r="B889" s="47">
        <v>45</v>
      </c>
      <c r="C889" s="47"/>
      <c r="D889" s="47"/>
      <c r="E889" s="49"/>
      <c r="F889" s="49"/>
      <c r="G889" s="49" t="s">
        <v>1937</v>
      </c>
      <c r="H889" s="47" t="s">
        <v>1938</v>
      </c>
      <c r="I889" s="43" t="str">
        <f t="shared" si="49"/>
        <v>通用件</v>
      </c>
      <c r="J889" s="44" t="str">
        <f t="shared" si="48"/>
        <v>通用件 预制弯头</v>
      </c>
      <c r="K889" s="43">
        <f>COUNTIF($J$2:J889,J889)</f>
        <v>1</v>
      </c>
    </row>
    <row r="890" spans="1:11">
      <c r="A890" s="47">
        <v>882</v>
      </c>
      <c r="B890" s="47">
        <v>46</v>
      </c>
      <c r="C890" s="47"/>
      <c r="D890" s="47"/>
      <c r="E890" s="49"/>
      <c r="F890" s="49"/>
      <c r="G890" s="49" t="s">
        <v>1939</v>
      </c>
      <c r="H890" s="47" t="s">
        <v>1940</v>
      </c>
      <c r="I890" s="43" t="str">
        <f t="shared" si="49"/>
        <v>通用件</v>
      </c>
      <c r="J890" s="44" t="str">
        <f t="shared" si="48"/>
        <v>通用件 变径三通</v>
      </c>
      <c r="K890" s="43">
        <f>COUNTIF($J$2:J890,J890)</f>
        <v>1</v>
      </c>
    </row>
    <row r="891" spans="1:11">
      <c r="A891" s="47">
        <v>883</v>
      </c>
      <c r="B891" s="47">
        <v>47</v>
      </c>
      <c r="C891" s="47"/>
      <c r="D891" s="47"/>
      <c r="E891" s="49"/>
      <c r="F891" s="49"/>
      <c r="G891" s="49" t="s">
        <v>1941</v>
      </c>
      <c r="H891" s="47" t="s">
        <v>1942</v>
      </c>
      <c r="I891" s="43" t="str">
        <f t="shared" si="49"/>
        <v>通用件</v>
      </c>
      <c r="J891" s="44" t="str">
        <f t="shared" si="48"/>
        <v>通用件 变径四通</v>
      </c>
      <c r="K891" s="43">
        <f>COUNTIF($J$2:J891,J891)</f>
        <v>1</v>
      </c>
    </row>
    <row r="892" spans="1:11">
      <c r="A892" s="47">
        <v>884</v>
      </c>
      <c r="B892" s="47">
        <v>48</v>
      </c>
      <c r="C892" s="47"/>
      <c r="D892" s="47"/>
      <c r="E892" s="49"/>
      <c r="F892" s="49"/>
      <c r="G892" s="49" t="s">
        <v>1943</v>
      </c>
      <c r="H892" s="47" t="s">
        <v>1944</v>
      </c>
      <c r="I892" s="43" t="str">
        <f t="shared" si="49"/>
        <v>通用件</v>
      </c>
      <c r="J892" s="44" t="str">
        <f t="shared" si="48"/>
        <v>通用件 预制变径</v>
      </c>
      <c r="K892" s="43">
        <f>COUNTIF($J$2:J892,J892)</f>
        <v>1</v>
      </c>
    </row>
    <row r="893" spans="1:11">
      <c r="A893" s="47">
        <v>885</v>
      </c>
      <c r="B893" s="47">
        <v>49</v>
      </c>
      <c r="C893" s="47"/>
      <c r="D893" s="47"/>
      <c r="E893" s="49"/>
      <c r="F893" s="49"/>
      <c r="G893" s="49" t="s">
        <v>1945</v>
      </c>
      <c r="H893" s="47" t="s">
        <v>1946</v>
      </c>
      <c r="I893" s="43" t="str">
        <f t="shared" si="49"/>
        <v>通用件</v>
      </c>
      <c r="J893" s="44" t="str">
        <f t="shared" si="48"/>
        <v>通用件 预制风帽</v>
      </c>
      <c r="K893" s="43">
        <f>COUNTIF($J$2:J893,J893)</f>
        <v>1</v>
      </c>
    </row>
    <row r="894" spans="1:11">
      <c r="A894" s="47">
        <v>886</v>
      </c>
      <c r="B894" s="47">
        <v>50</v>
      </c>
      <c r="C894" s="47"/>
      <c r="D894" s="47"/>
      <c r="E894" s="49"/>
      <c r="F894" s="49"/>
      <c r="G894" s="49" t="s">
        <v>1947</v>
      </c>
      <c r="H894" s="47" t="s">
        <v>1948</v>
      </c>
      <c r="I894" s="43" t="str">
        <f t="shared" si="49"/>
        <v>通用件</v>
      </c>
      <c r="J894" s="44" t="str">
        <f t="shared" si="48"/>
        <v>通用件 预制卷管</v>
      </c>
      <c r="K894" s="43">
        <f>COUNTIF($J$2:J894,J894)</f>
        <v>1</v>
      </c>
    </row>
    <row r="895" spans="1:11">
      <c r="A895" s="47">
        <v>887</v>
      </c>
      <c r="B895" s="47">
        <v>51</v>
      </c>
      <c r="C895" s="47"/>
      <c r="D895" s="47"/>
      <c r="E895" s="49"/>
      <c r="F895" s="49"/>
      <c r="G895" s="49" t="s">
        <v>1949</v>
      </c>
      <c r="H895" s="47" t="s">
        <v>1948</v>
      </c>
      <c r="I895" s="43" t="str">
        <f t="shared" si="49"/>
        <v>通用件</v>
      </c>
      <c r="J895" s="44" t="str">
        <f t="shared" si="48"/>
        <v>通用件 其它通用件</v>
      </c>
      <c r="K895" s="43">
        <f>COUNTIF($J$2:J895,J895)</f>
        <v>1</v>
      </c>
    </row>
    <row r="896" spans="1:11">
      <c r="A896" s="47">
        <v>888</v>
      </c>
      <c r="B896" s="47">
        <f>IF(K897=1,COUNTIF($D$2:D896,D896),"")</f>
        <v>1</v>
      </c>
      <c r="C896" s="47" t="s">
        <v>119</v>
      </c>
      <c r="D896" s="47" t="s">
        <v>92</v>
      </c>
      <c r="E896" s="49"/>
      <c r="F896" s="49"/>
      <c r="G896" s="49" t="s">
        <v>1950</v>
      </c>
      <c r="H896" s="47" t="s">
        <v>1951</v>
      </c>
      <c r="I896" s="43" t="str">
        <f t="shared" si="49"/>
        <v>低值易耗</v>
      </c>
      <c r="J896" s="44" t="str">
        <f t="shared" si="48"/>
        <v>低值易耗 防护劳保</v>
      </c>
      <c r="K896" s="43">
        <f>COUNTIF($J$2:J896,J896)</f>
        <v>1</v>
      </c>
    </row>
    <row r="897" spans="1:11">
      <c r="A897" s="47">
        <v>889</v>
      </c>
      <c r="B897" s="47">
        <f>IF(K898=1,COUNTIF($D$2:D897,D897),"")</f>
        <v>2</v>
      </c>
      <c r="C897" s="47"/>
      <c r="D897" s="47" t="s">
        <v>92</v>
      </c>
      <c r="E897" s="49"/>
      <c r="F897" s="49"/>
      <c r="G897" s="49" t="s">
        <v>1952</v>
      </c>
      <c r="H897" s="47" t="s">
        <v>1953</v>
      </c>
      <c r="I897" s="43" t="str">
        <f t="shared" si="49"/>
        <v>低值易耗</v>
      </c>
      <c r="J897" s="44" t="str">
        <f t="shared" si="48"/>
        <v>低值易耗 福利劳保</v>
      </c>
      <c r="K897" s="43">
        <f>COUNTIF($J$2:J897,J897)</f>
        <v>1</v>
      </c>
    </row>
    <row r="898" spans="1:11">
      <c r="A898" s="47">
        <v>890</v>
      </c>
      <c r="B898" s="47">
        <f>IF(K899=1,COUNTIF($D$2:D898,D898),"")</f>
        <v>3</v>
      </c>
      <c r="C898" s="47"/>
      <c r="D898" s="47" t="s">
        <v>92</v>
      </c>
      <c r="E898" s="49"/>
      <c r="F898" s="49"/>
      <c r="G898" s="49" t="s">
        <v>1954</v>
      </c>
      <c r="H898" s="47" t="s">
        <v>1955</v>
      </c>
      <c r="I898" s="43" t="str">
        <f t="shared" si="49"/>
        <v>低值易耗</v>
      </c>
      <c r="J898" s="44" t="str">
        <f t="shared" si="48"/>
        <v>低值易耗 防锈油</v>
      </c>
      <c r="K898" s="43">
        <f>COUNTIF($J$2:J898,J898)</f>
        <v>1</v>
      </c>
    </row>
    <row r="899" spans="1:11">
      <c r="A899" s="47">
        <v>891</v>
      </c>
      <c r="B899" s="47">
        <f>IF(K900=1,COUNTIF($D$2:D899,D899),"")</f>
        <v>4</v>
      </c>
      <c r="C899" s="47"/>
      <c r="D899" s="47" t="s">
        <v>92</v>
      </c>
      <c r="E899" s="49"/>
      <c r="F899" s="49"/>
      <c r="G899" s="49" t="s">
        <v>1956</v>
      </c>
      <c r="H899" s="47" t="s">
        <v>1957</v>
      </c>
      <c r="I899" s="43" t="str">
        <f t="shared" si="49"/>
        <v>低值易耗</v>
      </c>
      <c r="J899" s="44" t="str">
        <f t="shared" si="48"/>
        <v>低值易耗 食用油</v>
      </c>
      <c r="K899" s="43">
        <f>COUNTIF($J$2:J899,J899)</f>
        <v>1</v>
      </c>
    </row>
    <row r="900" spans="1:11">
      <c r="A900" s="47">
        <v>892</v>
      </c>
      <c r="B900" s="47">
        <f>IF(K901=1,COUNTIF($D$2:D900,D900),"")</f>
        <v>5</v>
      </c>
      <c r="C900" s="47"/>
      <c r="D900" s="47" t="s">
        <v>92</v>
      </c>
      <c r="E900" s="49"/>
      <c r="F900" s="49"/>
      <c r="G900" s="49" t="s">
        <v>1958</v>
      </c>
      <c r="H900" s="47" t="s">
        <v>1959</v>
      </c>
      <c r="I900" s="43" t="str">
        <f t="shared" si="49"/>
        <v>低值易耗</v>
      </c>
      <c r="J900" s="44" t="str">
        <f t="shared" si="48"/>
        <v>低值易耗 设备用油</v>
      </c>
      <c r="K900" s="43">
        <f>COUNTIF($J$2:J900,J900)</f>
        <v>1</v>
      </c>
    </row>
    <row r="901" spans="1:11">
      <c r="A901" s="47">
        <v>893</v>
      </c>
      <c r="B901" s="47">
        <f>IF(K902=1,COUNTIF($D$2:D901,D901),"")</f>
        <v>6</v>
      </c>
      <c r="C901" s="47"/>
      <c r="D901" s="47" t="s">
        <v>92</v>
      </c>
      <c r="E901" s="49"/>
      <c r="F901" s="49"/>
      <c r="G901" s="49" t="s">
        <v>1960</v>
      </c>
      <c r="H901" s="47" t="s">
        <v>1961</v>
      </c>
      <c r="I901" s="43" t="str">
        <f t="shared" si="49"/>
        <v>低值易耗</v>
      </c>
      <c r="J901" s="44" t="str">
        <f t="shared" si="48"/>
        <v>低值易耗 机加工用刀具</v>
      </c>
      <c r="K901" s="43">
        <f>COUNTIF($J$2:J901,J901)</f>
        <v>1</v>
      </c>
    </row>
    <row r="902" spans="1:11">
      <c r="A902" s="47">
        <v>894</v>
      </c>
      <c r="B902" s="47">
        <f>IF(K903=1,COUNTIF($D$2:D902,D902),"")</f>
        <v>7</v>
      </c>
      <c r="C902" s="47"/>
      <c r="D902" s="47" t="s">
        <v>92</v>
      </c>
      <c r="E902" s="49"/>
      <c r="F902" s="49"/>
      <c r="G902" s="49" t="s">
        <v>1962</v>
      </c>
      <c r="H902" s="47" t="s">
        <v>1963</v>
      </c>
      <c r="I902" s="43" t="str">
        <f t="shared" si="49"/>
        <v>低值易耗</v>
      </c>
      <c r="J902" s="44" t="str">
        <f t="shared" si="48"/>
        <v>低值易耗 锯齿类</v>
      </c>
      <c r="K902" s="43">
        <f>COUNTIF($J$2:J902,J902)</f>
        <v>1</v>
      </c>
    </row>
    <row r="903" spans="1:11">
      <c r="A903" s="47">
        <v>895</v>
      </c>
      <c r="B903" s="47">
        <f>IF(K904=1,COUNTIF($D$2:D903,D903),"")</f>
        <v>8</v>
      </c>
      <c r="C903" s="47"/>
      <c r="D903" s="47" t="s">
        <v>92</v>
      </c>
      <c r="E903" s="49"/>
      <c r="F903" s="49"/>
      <c r="G903" s="49" t="s">
        <v>1964</v>
      </c>
      <c r="H903" s="47" t="s">
        <v>1965</v>
      </c>
      <c r="I903" s="43" t="str">
        <f t="shared" si="49"/>
        <v>低值易耗</v>
      </c>
      <c r="J903" s="44" t="str">
        <f t="shared" si="48"/>
        <v>低值易耗 绳类</v>
      </c>
      <c r="K903" s="43">
        <f>COUNTIF($J$2:J903,J903)</f>
        <v>1</v>
      </c>
    </row>
    <row r="904" spans="1:11">
      <c r="A904" s="47">
        <v>896</v>
      </c>
      <c r="B904" s="47">
        <f>IF(K905=1,COUNTIF($D$2:D904,D904),"")</f>
        <v>9</v>
      </c>
      <c r="C904" s="47"/>
      <c r="D904" s="47" t="s">
        <v>92</v>
      </c>
      <c r="E904" s="49"/>
      <c r="F904" s="49"/>
      <c r="G904" s="49" t="s">
        <v>1966</v>
      </c>
      <c r="H904" s="47" t="s">
        <v>1967</v>
      </c>
      <c r="I904" s="43" t="str">
        <f t="shared" si="49"/>
        <v>低值易耗</v>
      </c>
      <c r="J904" s="44" t="str">
        <f t="shared" si="48"/>
        <v>低值易耗 夹具类</v>
      </c>
      <c r="K904" s="43">
        <f>COUNTIF($J$2:J904,J904)</f>
        <v>1</v>
      </c>
    </row>
    <row r="905" spans="1:11">
      <c r="A905" s="47">
        <v>897</v>
      </c>
      <c r="B905" s="47">
        <f>IF(K906=1,COUNTIF($D$2:D905,D905),"")</f>
        <v>10</v>
      </c>
      <c r="C905" s="47"/>
      <c r="D905" s="47" t="s">
        <v>92</v>
      </c>
      <c r="E905" s="49"/>
      <c r="F905" s="49"/>
      <c r="G905" s="49" t="s">
        <v>1968</v>
      </c>
      <c r="H905" s="47" t="s">
        <v>1969</v>
      </c>
      <c r="I905" s="43" t="str">
        <f t="shared" si="49"/>
        <v>低值易耗</v>
      </c>
      <c r="J905" s="44" t="str">
        <f t="shared" si="48"/>
        <v>低值易耗 量具</v>
      </c>
      <c r="K905" s="43">
        <f>COUNTIF($J$2:J905,J905)</f>
        <v>1</v>
      </c>
    </row>
    <row r="906" spans="1:11">
      <c r="A906" s="47">
        <v>898</v>
      </c>
      <c r="B906" s="47">
        <f>IF(K907=1,COUNTIF($D$2:D906,D906),"")</f>
        <v>11</v>
      </c>
      <c r="C906" s="47"/>
      <c r="D906" s="47" t="s">
        <v>92</v>
      </c>
      <c r="E906" s="49"/>
      <c r="F906" s="49"/>
      <c r="G906" s="49" t="s">
        <v>1970</v>
      </c>
      <c r="H906" s="47" t="s">
        <v>1971</v>
      </c>
      <c r="I906" s="43" t="str">
        <f t="shared" si="49"/>
        <v>低值易耗</v>
      </c>
      <c r="J906" s="44" t="str">
        <f t="shared" si="48"/>
        <v>低值易耗 非量具工具</v>
      </c>
      <c r="K906" s="43">
        <f>COUNTIF($J$2:J906,J906)</f>
        <v>1</v>
      </c>
    </row>
    <row r="907" spans="1:11">
      <c r="A907" s="47">
        <v>899</v>
      </c>
      <c r="B907" s="47">
        <f>IF(K908=1,COUNTIF($D$2:D907,D907),"")</f>
        <v>12</v>
      </c>
      <c r="C907" s="47"/>
      <c r="D907" s="47" t="s">
        <v>92</v>
      </c>
      <c r="E907" s="49"/>
      <c r="F907" s="49"/>
      <c r="G907" s="49" t="s">
        <v>1972</v>
      </c>
      <c r="H907" s="47" t="s">
        <v>1973</v>
      </c>
      <c r="I907" s="43" t="str">
        <f t="shared" si="49"/>
        <v>低值易耗</v>
      </c>
      <c r="J907" s="44" t="str">
        <f t="shared" si="48"/>
        <v>低值易耗 紧固材料</v>
      </c>
      <c r="K907" s="43">
        <f>COUNTIF($J$2:J907,J907)</f>
        <v>1</v>
      </c>
    </row>
    <row r="908" spans="1:11">
      <c r="A908" s="47">
        <v>900</v>
      </c>
      <c r="B908" s="47">
        <f>IF(K909=1,COUNTIF($D$2:D908,D908),"")</f>
        <v>13</v>
      </c>
      <c r="C908" s="47"/>
      <c r="D908" s="47" t="s">
        <v>92</v>
      </c>
      <c r="E908" s="49"/>
      <c r="F908" s="49"/>
      <c r="G908" s="49" t="s">
        <v>1974</v>
      </c>
      <c r="H908" s="47" t="s">
        <v>1975</v>
      </c>
      <c r="I908" s="43" t="str">
        <f t="shared" ref="I908:I925" si="50">IF(COUNTA(C908)=1,C908,I907)</f>
        <v>低值易耗</v>
      </c>
      <c r="J908" s="44" t="str">
        <f t="shared" ref="J908:J925" si="51">CONCATENATE(I908," ",G908)</f>
        <v>低值易耗 包裹材料</v>
      </c>
      <c r="K908" s="43">
        <f>COUNTIF($J$2:J908,J908)</f>
        <v>1</v>
      </c>
    </row>
    <row r="909" spans="1:11">
      <c r="A909" s="47">
        <v>901</v>
      </c>
      <c r="B909" s="47">
        <f>IF(K910=1,COUNTIF($D$2:D909,D909),"")</f>
        <v>14</v>
      </c>
      <c r="C909" s="47"/>
      <c r="D909" s="47" t="s">
        <v>92</v>
      </c>
      <c r="E909" s="49"/>
      <c r="F909" s="49"/>
      <c r="G909" s="49" t="s">
        <v>1976</v>
      </c>
      <c r="H909" s="47" t="s">
        <v>1977</v>
      </c>
      <c r="I909" s="43" t="str">
        <f t="shared" si="50"/>
        <v>低值易耗</v>
      </c>
      <c r="J909" s="44" t="str">
        <f t="shared" si="51"/>
        <v>低值易耗 木质材料</v>
      </c>
      <c r="K909" s="43">
        <f>COUNTIF($J$2:J909,J909)</f>
        <v>1</v>
      </c>
    </row>
    <row r="910" spans="1:11">
      <c r="A910" s="47">
        <v>902</v>
      </c>
      <c r="B910" s="47">
        <f>IF(K911=1,COUNTIF($D$2:D910,D910),"")</f>
        <v>15</v>
      </c>
      <c r="C910" s="47"/>
      <c r="D910" s="47" t="s">
        <v>92</v>
      </c>
      <c r="E910" s="49"/>
      <c r="F910" s="49"/>
      <c r="G910" s="49" t="s">
        <v>1978</v>
      </c>
      <c r="H910" s="47" t="s">
        <v>1979</v>
      </c>
      <c r="I910" s="43" t="str">
        <f t="shared" si="50"/>
        <v>低值易耗</v>
      </c>
      <c r="J910" s="44" t="str">
        <f t="shared" si="51"/>
        <v>低值易耗 焊接类消耗品</v>
      </c>
      <c r="K910" s="43">
        <f>COUNTIF($J$2:J910,J910)</f>
        <v>1</v>
      </c>
    </row>
    <row r="911" spans="1:11">
      <c r="A911" s="47">
        <v>903</v>
      </c>
      <c r="B911" s="47">
        <f>IF(K912=1,COUNTIF($D$2:D911,D911),"")</f>
        <v>16</v>
      </c>
      <c r="C911" s="47"/>
      <c r="D911" s="47" t="s">
        <v>92</v>
      </c>
      <c r="E911" s="49"/>
      <c r="F911" s="49"/>
      <c r="G911" s="49" t="s">
        <v>1980</v>
      </c>
      <c r="H911" s="47" t="s">
        <v>1981</v>
      </c>
      <c r="I911" s="43" t="str">
        <f t="shared" si="50"/>
        <v>低值易耗</v>
      </c>
      <c r="J911" s="44" t="str">
        <f t="shared" si="51"/>
        <v>低值易耗 磨、切、割类消耗品</v>
      </c>
      <c r="K911" s="43">
        <f>COUNTIF($J$2:J911,J911)</f>
        <v>1</v>
      </c>
    </row>
    <row r="912" spans="1:11">
      <c r="A912" s="47">
        <v>904</v>
      </c>
      <c r="B912" s="47">
        <f>IF(K913=1,COUNTIF($D$2:D912,D912),"")</f>
        <v>17</v>
      </c>
      <c r="C912" s="47"/>
      <c r="D912" s="47" t="s">
        <v>92</v>
      </c>
      <c r="E912" s="49"/>
      <c r="F912" s="49"/>
      <c r="G912" s="49" t="s">
        <v>1982</v>
      </c>
      <c r="H912" s="47" t="s">
        <v>1983</v>
      </c>
      <c r="I912" s="43" t="str">
        <f t="shared" si="50"/>
        <v>低值易耗</v>
      </c>
      <c r="J912" s="44" t="str">
        <f t="shared" si="51"/>
        <v>低值易耗 喷砂、清洗类消耗品</v>
      </c>
      <c r="K912" s="43">
        <f>COUNTIF($J$2:J912,J912)</f>
        <v>1</v>
      </c>
    </row>
    <row r="913" spans="1:11">
      <c r="A913" s="47">
        <v>905</v>
      </c>
      <c r="B913" s="47">
        <f>IF(K914=1,COUNTIF($D$2:D913,D913),"")</f>
        <v>18</v>
      </c>
      <c r="C913" s="47"/>
      <c r="D913" s="47" t="s">
        <v>92</v>
      </c>
      <c r="E913" s="49"/>
      <c r="F913" s="49"/>
      <c r="G913" s="49" t="s">
        <v>1984</v>
      </c>
      <c r="H913" s="47" t="s">
        <v>1985</v>
      </c>
      <c r="I913" s="43" t="str">
        <f t="shared" si="50"/>
        <v>低值易耗</v>
      </c>
      <c r="J913" s="44" t="str">
        <f t="shared" si="51"/>
        <v>低值易耗 其它低值易耗品</v>
      </c>
      <c r="K913" s="43">
        <f>COUNTIF($J$2:J913,J913)</f>
        <v>1</v>
      </c>
    </row>
    <row r="914" spans="1:11">
      <c r="A914" s="47">
        <v>906</v>
      </c>
      <c r="B914" s="47">
        <f>IF(K915=1,COUNTIF($D$2:D914,D914),"")</f>
        <v>19</v>
      </c>
      <c r="C914" s="47"/>
      <c r="D914" s="47" t="s">
        <v>92</v>
      </c>
      <c r="E914" s="49"/>
      <c r="F914" s="49"/>
      <c r="G914" s="49" t="s">
        <v>1986</v>
      </c>
      <c r="H914" s="47" t="s">
        <v>1987</v>
      </c>
      <c r="I914" s="43" t="str">
        <f t="shared" si="50"/>
        <v>低值易耗</v>
      </c>
      <c r="J914" s="44" t="str">
        <f t="shared" si="51"/>
        <v>低值易耗 面漆</v>
      </c>
      <c r="K914" s="43">
        <f>COUNTIF($J$2:J914,J914)</f>
        <v>1</v>
      </c>
    </row>
    <row r="915" spans="1:11">
      <c r="A915" s="47">
        <v>907</v>
      </c>
      <c r="B915" s="47">
        <f>IF(K916=1,COUNTIF($D$2:D915,D915),"")</f>
        <v>20</v>
      </c>
      <c r="C915" s="47"/>
      <c r="D915" s="47" t="s">
        <v>92</v>
      </c>
      <c r="E915" s="49"/>
      <c r="F915" s="49"/>
      <c r="G915" s="49" t="s">
        <v>1988</v>
      </c>
      <c r="H915" s="47" t="s">
        <v>1989</v>
      </c>
      <c r="I915" s="43" t="str">
        <f t="shared" si="50"/>
        <v>低值易耗</v>
      </c>
      <c r="J915" s="44" t="str">
        <f t="shared" si="51"/>
        <v>低值易耗 中间漆</v>
      </c>
      <c r="K915" s="43">
        <f>COUNTIF($J$2:J915,J915)</f>
        <v>1</v>
      </c>
    </row>
    <row r="916" spans="1:11">
      <c r="A916" s="47">
        <v>908</v>
      </c>
      <c r="B916" s="47">
        <f>IF(K917=1,COUNTIF($D$2:D916,D916),"")</f>
        <v>21</v>
      </c>
      <c r="C916" s="47"/>
      <c r="D916" s="47" t="s">
        <v>92</v>
      </c>
      <c r="E916" s="49"/>
      <c r="F916" s="49"/>
      <c r="G916" s="49" t="s">
        <v>1990</v>
      </c>
      <c r="H916" s="47" t="s">
        <v>1991</v>
      </c>
      <c r="I916" s="43" t="str">
        <f t="shared" si="50"/>
        <v>低值易耗</v>
      </c>
      <c r="J916" s="44" t="str">
        <f t="shared" si="51"/>
        <v>低值易耗 底漆</v>
      </c>
      <c r="K916" s="43">
        <f>COUNTIF($J$2:J916,J916)</f>
        <v>1</v>
      </c>
    </row>
    <row r="917" spans="1:11">
      <c r="A917" s="47">
        <v>909</v>
      </c>
      <c r="B917" s="47">
        <f>IF(K918=1,COUNTIF($D$2:D917,D917),"")</f>
        <v>22</v>
      </c>
      <c r="C917" s="47"/>
      <c r="D917" s="47" t="s">
        <v>92</v>
      </c>
      <c r="E917" s="49"/>
      <c r="F917" s="49"/>
      <c r="G917" s="49" t="s">
        <v>1992</v>
      </c>
      <c r="H917" s="47" t="s">
        <v>1993</v>
      </c>
      <c r="I917" s="43" t="str">
        <f t="shared" si="50"/>
        <v>低值易耗</v>
      </c>
      <c r="J917" s="44" t="str">
        <f t="shared" si="51"/>
        <v>低值易耗 稀释剂</v>
      </c>
      <c r="K917" s="43">
        <f>COUNTIF($J$2:J917,J917)</f>
        <v>1</v>
      </c>
    </row>
    <row r="918" spans="1:11">
      <c r="A918" s="47">
        <v>910</v>
      </c>
      <c r="B918" s="47">
        <f>IF(K919=1,COUNTIF($D$2:D918,D918),"")</f>
        <v>23</v>
      </c>
      <c r="C918" s="47"/>
      <c r="D918" s="47" t="s">
        <v>92</v>
      </c>
      <c r="E918" s="49"/>
      <c r="F918" s="49"/>
      <c r="G918" s="49" t="s">
        <v>1994</v>
      </c>
      <c r="H918" s="47" t="s">
        <v>1995</v>
      </c>
      <c r="I918" s="43" t="str">
        <f t="shared" si="50"/>
        <v>低值易耗</v>
      </c>
      <c r="J918" s="44" t="str">
        <f t="shared" si="51"/>
        <v>低值易耗 固化剂</v>
      </c>
      <c r="K918" s="43">
        <f>COUNTIF($J$2:J918,J918)</f>
        <v>1</v>
      </c>
    </row>
    <row r="919" spans="1:11">
      <c r="A919" s="47">
        <v>911</v>
      </c>
      <c r="B919" s="47">
        <f>IF(K920=1,COUNTIF($D$2:D919,D919),"")</f>
        <v>24</v>
      </c>
      <c r="C919" s="47"/>
      <c r="D919" s="47" t="s">
        <v>92</v>
      </c>
      <c r="E919" s="49"/>
      <c r="F919" s="49"/>
      <c r="G919" s="49" t="s">
        <v>1996</v>
      </c>
      <c r="H919" s="47" t="s">
        <v>1997</v>
      </c>
      <c r="I919" s="43" t="str">
        <f t="shared" si="50"/>
        <v>低值易耗</v>
      </c>
      <c r="J919" s="44" t="str">
        <f t="shared" si="51"/>
        <v>低值易耗 自喷漆</v>
      </c>
      <c r="K919" s="43">
        <f>COUNTIF($J$2:J919,J919)</f>
        <v>1</v>
      </c>
    </row>
    <row r="920" spans="1:11">
      <c r="A920" s="47">
        <v>912</v>
      </c>
      <c r="B920" s="47">
        <f>IF(K921=1,COUNTIF($D$2:D920,D920),"")</f>
        <v>1</v>
      </c>
      <c r="C920" s="47" t="s">
        <v>1998</v>
      </c>
      <c r="D920" s="47" t="s">
        <v>101</v>
      </c>
      <c r="E920" s="49"/>
      <c r="F920" s="49"/>
      <c r="G920" s="49" t="s">
        <v>1999</v>
      </c>
      <c r="H920" s="47" t="s">
        <v>2000</v>
      </c>
      <c r="I920" s="43" t="str">
        <f t="shared" si="50"/>
        <v>固定资产</v>
      </c>
      <c r="J920" s="44" t="str">
        <f t="shared" si="51"/>
        <v>固定资产 房屋及建筑物</v>
      </c>
      <c r="K920" s="43">
        <f>COUNTIF($J$2:J920,J920)</f>
        <v>1</v>
      </c>
    </row>
    <row r="921" spans="1:11">
      <c r="A921" s="47">
        <v>913</v>
      </c>
      <c r="B921" s="47">
        <f>IF(K922=1,COUNTIF($D$2:D921,D921),"")</f>
        <v>2</v>
      </c>
      <c r="C921" s="47"/>
      <c r="D921" s="47" t="s">
        <v>101</v>
      </c>
      <c r="E921" s="49"/>
      <c r="F921" s="49"/>
      <c r="G921" s="49" t="s">
        <v>2001</v>
      </c>
      <c r="H921" s="47" t="s">
        <v>2002</v>
      </c>
      <c r="I921" s="43" t="str">
        <f t="shared" si="50"/>
        <v>固定资产</v>
      </c>
      <c r="J921" s="44" t="str">
        <f t="shared" si="51"/>
        <v>固定资产 办公设备</v>
      </c>
      <c r="K921" s="43">
        <f>COUNTIF($J$2:J921,J921)</f>
        <v>1</v>
      </c>
    </row>
    <row r="922" spans="1:11">
      <c r="A922" s="47">
        <v>914</v>
      </c>
      <c r="B922" s="47">
        <f>IF(K923=1,COUNTIF($D$2:D922,D922),"")</f>
        <v>3</v>
      </c>
      <c r="C922" s="47"/>
      <c r="D922" s="47" t="s">
        <v>101</v>
      </c>
      <c r="E922" s="49"/>
      <c r="F922" s="49"/>
      <c r="G922" s="49" t="s">
        <v>2003</v>
      </c>
      <c r="H922" s="47" t="s">
        <v>2004</v>
      </c>
      <c r="I922" s="43" t="str">
        <f t="shared" si="50"/>
        <v>固定资产</v>
      </c>
      <c r="J922" s="44" t="str">
        <f t="shared" si="51"/>
        <v>固定资产 电子设备</v>
      </c>
      <c r="K922" s="43">
        <f>COUNTIF($J$2:J922,J922)</f>
        <v>1</v>
      </c>
    </row>
    <row r="923" spans="1:11">
      <c r="A923" s="47">
        <v>915</v>
      </c>
      <c r="B923" s="47">
        <f>IF(K924=1,COUNTIF($D$2:D923,D923),"")</f>
        <v>4</v>
      </c>
      <c r="C923" s="47"/>
      <c r="D923" s="47" t="s">
        <v>101</v>
      </c>
      <c r="E923" s="49"/>
      <c r="F923" s="49"/>
      <c r="G923" s="49" t="s">
        <v>2005</v>
      </c>
      <c r="H923" s="47" t="s">
        <v>2006</v>
      </c>
      <c r="I923" s="43" t="str">
        <f t="shared" si="50"/>
        <v>固定资产</v>
      </c>
      <c r="J923" s="44" t="str">
        <f t="shared" si="51"/>
        <v>固定资产 机器设备</v>
      </c>
      <c r="K923" s="43">
        <f>COUNTIF($J$2:J923,J923)</f>
        <v>1</v>
      </c>
    </row>
    <row r="924" spans="1:11">
      <c r="A924" s="47">
        <v>916</v>
      </c>
      <c r="B924" s="47">
        <f>IF(K925=1,COUNTIF($D$2:D924,D924),"")</f>
        <v>5</v>
      </c>
      <c r="C924" s="47"/>
      <c r="D924" s="47" t="s">
        <v>101</v>
      </c>
      <c r="E924" s="49"/>
      <c r="F924" s="49"/>
      <c r="G924" s="49" t="s">
        <v>2007</v>
      </c>
      <c r="H924" s="47" t="s">
        <v>2008</v>
      </c>
      <c r="I924" s="43" t="str">
        <f t="shared" si="50"/>
        <v>固定资产</v>
      </c>
      <c r="J924" s="44" t="str">
        <f t="shared" si="51"/>
        <v>固定资产 运输工具</v>
      </c>
      <c r="K924" s="43">
        <f>COUNTIF($J$2:J924,J924)</f>
        <v>1</v>
      </c>
    </row>
    <row r="925" spans="1:11">
      <c r="A925" s="47">
        <v>917</v>
      </c>
      <c r="B925" s="47" t="str">
        <f>IF(K926=1,COUNTIF($D$2:D925,D925),"")</f>
        <v/>
      </c>
      <c r="C925" s="47"/>
      <c r="D925" s="47" t="s">
        <v>101</v>
      </c>
      <c r="E925" s="49"/>
      <c r="F925" s="49"/>
      <c r="G925" s="49" t="s">
        <v>2009</v>
      </c>
      <c r="H925" s="47" t="s">
        <v>2010</v>
      </c>
      <c r="I925" s="43" t="str">
        <f t="shared" si="50"/>
        <v>固定资产</v>
      </c>
      <c r="J925" s="44" t="str">
        <f t="shared" si="51"/>
        <v>固定资产 其它固定资产</v>
      </c>
      <c r="K925" s="43">
        <f>COUNTIF($J$2:J925,J925)</f>
        <v>1</v>
      </c>
    </row>
    <row r="926" spans="5:11">
      <c r="E926" s="43"/>
      <c r="F926" s="43"/>
      <c r="G926" s="43"/>
      <c r="K926" s="43">
        <f>COUNTIF($J$2:J926,J926)</f>
        <v>0</v>
      </c>
    </row>
    <row r="927" spans="5:7">
      <c r="E927" s="43"/>
      <c r="F927" s="43"/>
      <c r="G927" s="43"/>
    </row>
    <row r="928" spans="5:7">
      <c r="E928" s="43"/>
      <c r="F928" s="43"/>
      <c r="G928" s="43"/>
    </row>
    <row r="929" spans="5:7">
      <c r="E929" s="43"/>
      <c r="F929" s="43"/>
      <c r="G929" s="43"/>
    </row>
    <row r="930" spans="5:7">
      <c r="E930" s="43"/>
      <c r="F930" s="43"/>
      <c r="G930" s="43"/>
    </row>
    <row r="931" spans="5:7">
      <c r="E931" s="43"/>
      <c r="F931" s="43"/>
      <c r="G931" s="43"/>
    </row>
  </sheetData>
  <autoFilter ref="A2:N926">
    <extLst/>
  </autoFilter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P16"/>
  <sheetViews>
    <sheetView workbookViewId="0">
      <selection activeCell="N10" sqref="N10:P14"/>
    </sheetView>
  </sheetViews>
  <sheetFormatPr defaultColWidth="9" defaultRowHeight="20.1" customHeight="1"/>
  <cols>
    <col min="1" max="1" width="9" style="24"/>
    <col min="2" max="2" width="11.6666666666667" style="24" customWidth="1"/>
    <col min="3" max="3" width="22" style="24" customWidth="1"/>
    <col min="4" max="4" width="19.3333333333333" style="24" customWidth="1"/>
    <col min="5" max="5" width="14.1111111111111" style="24" customWidth="1"/>
    <col min="6" max="11" width="9" style="24"/>
    <col min="12" max="12" width="21.4444444444444" style="24" customWidth="1"/>
    <col min="13" max="14" width="9" style="24"/>
    <col min="15" max="15" width="15.1111111111111" style="24" customWidth="1"/>
    <col min="16" max="16384" width="9" style="24"/>
  </cols>
  <sheetData>
    <row r="1" customHeight="1" spans="1:14">
      <c r="A1" s="24" t="s">
        <v>2011</v>
      </c>
      <c r="B1" s="24" t="s">
        <v>2012</v>
      </c>
      <c r="C1" s="25" t="s">
        <v>2013</v>
      </c>
      <c r="D1" s="25" t="s">
        <v>2014</v>
      </c>
      <c r="E1" s="25" t="s">
        <v>2015</v>
      </c>
      <c r="N1" s="24" t="s">
        <v>2016</v>
      </c>
    </row>
    <row r="2" customHeight="1" spans="3:12">
      <c r="C2" s="25" t="s">
        <v>2017</v>
      </c>
      <c r="D2" s="25" t="s">
        <v>2018</v>
      </c>
      <c r="E2" s="25" t="s">
        <v>2017</v>
      </c>
      <c r="L2" s="33" t="s">
        <v>2019</v>
      </c>
    </row>
    <row r="3" customHeight="1" spans="1:16">
      <c r="A3" s="24">
        <v>1</v>
      </c>
      <c r="B3" s="26" t="s">
        <v>2020</v>
      </c>
      <c r="C3" s="27" t="s">
        <v>2021</v>
      </c>
      <c r="D3" s="26" t="s">
        <v>2022</v>
      </c>
      <c r="E3" s="27" t="s">
        <v>2023</v>
      </c>
      <c r="L3" s="34" t="s">
        <v>2016</v>
      </c>
      <c r="N3" s="35" t="s">
        <v>2011</v>
      </c>
      <c r="O3" s="35" t="s">
        <v>2024</v>
      </c>
      <c r="P3" s="35" t="s">
        <v>2025</v>
      </c>
    </row>
    <row r="4" customHeight="1" spans="1:16">
      <c r="A4" s="24">
        <v>2</v>
      </c>
      <c r="B4" s="26" t="s">
        <v>2026</v>
      </c>
      <c r="C4" s="27" t="s">
        <v>2021</v>
      </c>
      <c r="D4" s="26" t="s">
        <v>2022</v>
      </c>
      <c r="E4" s="24" t="s">
        <v>2027</v>
      </c>
      <c r="L4" s="36" t="s">
        <v>2028</v>
      </c>
      <c r="N4" s="35">
        <v>1</v>
      </c>
      <c r="O4" s="37" t="s">
        <v>2029</v>
      </c>
      <c r="P4" s="35">
        <v>1</v>
      </c>
    </row>
    <row r="5" customHeight="1" spans="1:16">
      <c r="A5" s="24">
        <v>3</v>
      </c>
      <c r="B5" s="26" t="s">
        <v>2030</v>
      </c>
      <c r="C5" s="27" t="s">
        <v>2031</v>
      </c>
      <c r="D5" s="26" t="s">
        <v>2032</v>
      </c>
      <c r="E5" s="28" t="s">
        <v>2033</v>
      </c>
      <c r="L5" s="38" t="s">
        <v>2034</v>
      </c>
      <c r="N5" s="35">
        <v>2</v>
      </c>
      <c r="O5" s="37" t="s">
        <v>2035</v>
      </c>
      <c r="P5" s="35">
        <v>6</v>
      </c>
    </row>
    <row r="6" customHeight="1" spans="1:16">
      <c r="A6" s="24">
        <v>4</v>
      </c>
      <c r="B6" s="26" t="s">
        <v>2036</v>
      </c>
      <c r="C6" s="27" t="s">
        <v>2021</v>
      </c>
      <c r="D6" s="26" t="s">
        <v>2022</v>
      </c>
      <c r="E6" s="29" t="s">
        <v>2037</v>
      </c>
      <c r="L6" s="39" t="s">
        <v>2038</v>
      </c>
      <c r="N6" s="35">
        <v>3</v>
      </c>
      <c r="O6" s="37" t="s">
        <v>2039</v>
      </c>
      <c r="P6" s="35">
        <v>5</v>
      </c>
    </row>
    <row r="8" customHeight="1" spans="1:3">
      <c r="A8" s="30" t="s">
        <v>2011</v>
      </c>
      <c r="B8" s="30" t="s">
        <v>2024</v>
      </c>
      <c r="C8" s="24" t="s">
        <v>2040</v>
      </c>
    </row>
    <row r="9" customHeight="1" spans="1:3">
      <c r="A9" s="30">
        <v>1</v>
      </c>
      <c r="B9" s="31" t="s">
        <v>1</v>
      </c>
      <c r="C9" s="24" t="s">
        <v>2020</v>
      </c>
    </row>
    <row r="10" customHeight="1" spans="1:16">
      <c r="A10" s="30">
        <v>2</v>
      </c>
      <c r="B10" s="31" t="s">
        <v>107</v>
      </c>
      <c r="C10" s="24" t="s">
        <v>2026</v>
      </c>
      <c r="L10" s="33" t="s">
        <v>2019</v>
      </c>
      <c r="N10" s="35" t="s">
        <v>2011</v>
      </c>
      <c r="O10" s="35" t="s">
        <v>2024</v>
      </c>
      <c r="P10" s="35" t="s">
        <v>2025</v>
      </c>
    </row>
    <row r="11" customHeight="1" spans="1:16">
      <c r="A11" s="30">
        <v>3</v>
      </c>
      <c r="B11" s="31" t="s">
        <v>427</v>
      </c>
      <c r="C11" s="24" t="s">
        <v>2041</v>
      </c>
      <c r="L11" s="34" t="s">
        <v>2042</v>
      </c>
      <c r="N11" s="35">
        <v>1</v>
      </c>
      <c r="O11" s="37" t="s">
        <v>2043</v>
      </c>
      <c r="P11" s="35">
        <v>9</v>
      </c>
    </row>
    <row r="12" customHeight="1" spans="1:16">
      <c r="A12" s="30">
        <v>4</v>
      </c>
      <c r="B12" s="32" t="s">
        <v>738</v>
      </c>
      <c r="C12" s="24" t="s">
        <v>2020</v>
      </c>
      <c r="L12" s="40" t="s">
        <v>2044</v>
      </c>
      <c r="N12" s="35">
        <v>2</v>
      </c>
      <c r="O12" s="37" t="s">
        <v>2045</v>
      </c>
      <c r="P12" s="35" t="s">
        <v>27</v>
      </c>
    </row>
    <row r="13" customHeight="1" spans="1:16">
      <c r="A13" s="30">
        <v>5</v>
      </c>
      <c r="B13" s="31" t="s">
        <v>120</v>
      </c>
      <c r="C13" s="24" t="s">
        <v>2026</v>
      </c>
      <c r="L13" s="38" t="s">
        <v>2046</v>
      </c>
      <c r="N13" s="35">
        <v>3</v>
      </c>
      <c r="O13" s="37" t="s">
        <v>2047</v>
      </c>
      <c r="P13" s="35">
        <v>7</v>
      </c>
    </row>
    <row r="14" customHeight="1" spans="1:16">
      <c r="A14" s="30">
        <v>6</v>
      </c>
      <c r="B14" s="31" t="s">
        <v>121</v>
      </c>
      <c r="C14" s="24" t="s">
        <v>2030</v>
      </c>
      <c r="L14" s="38" t="s">
        <v>2048</v>
      </c>
      <c r="N14" s="35">
        <v>4</v>
      </c>
      <c r="O14" s="35" t="s">
        <v>2049</v>
      </c>
      <c r="P14" s="35" t="s">
        <v>101</v>
      </c>
    </row>
    <row r="15" customHeight="1" spans="1:12">
      <c r="A15" s="30">
        <v>7</v>
      </c>
      <c r="B15" s="31" t="s">
        <v>123</v>
      </c>
      <c r="C15" s="24" t="s">
        <v>2030</v>
      </c>
      <c r="L15" s="39" t="s">
        <v>2050</v>
      </c>
    </row>
    <row r="16" customHeight="1" spans="1:3">
      <c r="A16" s="30">
        <v>8</v>
      </c>
      <c r="B16" s="31" t="s">
        <v>119</v>
      </c>
      <c r="C16" s="24" t="s">
        <v>2036</v>
      </c>
    </row>
  </sheetData>
  <mergeCells count="2">
    <mergeCell ref="A1:A2"/>
    <mergeCell ref="B1:B2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11"/>
  <sheetViews>
    <sheetView workbookViewId="0">
      <selection activeCell="B1" sqref="B1:B111"/>
    </sheetView>
  </sheetViews>
  <sheetFormatPr defaultColWidth="9" defaultRowHeight="14.4" outlineLevelCol="2"/>
  <cols>
    <col min="1" max="2" width="9" style="21"/>
    <col min="3" max="3" width="41.7777777777778" style="21" customWidth="1"/>
    <col min="4" max="16384" width="9" style="21"/>
  </cols>
  <sheetData>
    <row r="1" ht="17.4" spans="1:3">
      <c r="A1" s="22" t="s">
        <v>427</v>
      </c>
      <c r="B1" s="22" t="s">
        <v>430</v>
      </c>
      <c r="C1" s="22" t="s">
        <v>429</v>
      </c>
    </row>
    <row r="2" ht="17.4" spans="1:3">
      <c r="A2" s="22" t="s">
        <v>427</v>
      </c>
      <c r="B2" s="22" t="s">
        <v>432</v>
      </c>
      <c r="C2" s="22" t="s">
        <v>431</v>
      </c>
    </row>
    <row r="3" ht="17.4" spans="1:3">
      <c r="A3" s="22" t="s">
        <v>427</v>
      </c>
      <c r="B3" s="22" t="s">
        <v>434</v>
      </c>
      <c r="C3" s="23" t="s">
        <v>433</v>
      </c>
    </row>
    <row r="4" ht="17.4" spans="1:3">
      <c r="A4" s="22" t="s">
        <v>427</v>
      </c>
      <c r="B4" s="22" t="s">
        <v>436</v>
      </c>
      <c r="C4" s="23" t="s">
        <v>435</v>
      </c>
    </row>
    <row r="5" ht="17.4" spans="1:3">
      <c r="A5" s="22" t="s">
        <v>427</v>
      </c>
      <c r="B5" s="22" t="s">
        <v>438</v>
      </c>
      <c r="C5" s="23" t="s">
        <v>437</v>
      </c>
    </row>
    <row r="6" ht="17.4" spans="1:3">
      <c r="A6" s="22" t="s">
        <v>427</v>
      </c>
      <c r="B6" s="22" t="s">
        <v>440</v>
      </c>
      <c r="C6" s="23" t="s">
        <v>439</v>
      </c>
    </row>
    <row r="7" ht="17.4" spans="1:3">
      <c r="A7" s="22" t="s">
        <v>427</v>
      </c>
      <c r="B7" s="22" t="s">
        <v>442</v>
      </c>
      <c r="C7" s="23" t="s">
        <v>2051</v>
      </c>
    </row>
    <row r="8" ht="17.4" spans="1:3">
      <c r="A8" s="22" t="s">
        <v>427</v>
      </c>
      <c r="B8" s="22" t="s">
        <v>444</v>
      </c>
      <c r="C8" s="23" t="s">
        <v>2052</v>
      </c>
    </row>
    <row r="9" ht="17.4" spans="1:3">
      <c r="A9" s="22" t="s">
        <v>427</v>
      </c>
      <c r="B9" s="22" t="s">
        <v>446</v>
      </c>
      <c r="C9" s="23" t="s">
        <v>545</v>
      </c>
    </row>
    <row r="10" ht="17.4" spans="1:3">
      <c r="A10" s="22" t="s">
        <v>427</v>
      </c>
      <c r="B10" s="22" t="s">
        <v>448</v>
      </c>
      <c r="C10" s="23" t="s">
        <v>547</v>
      </c>
    </row>
    <row r="11" ht="17.4" spans="1:3">
      <c r="A11" s="22" t="s">
        <v>427</v>
      </c>
      <c r="B11" s="22" t="s">
        <v>451</v>
      </c>
      <c r="C11" s="23" t="s">
        <v>549</v>
      </c>
    </row>
    <row r="12" ht="17.4" spans="1:3">
      <c r="A12" s="22" t="s">
        <v>427</v>
      </c>
      <c r="B12" s="22" t="s">
        <v>453</v>
      </c>
      <c r="C12" s="23" t="s">
        <v>551</v>
      </c>
    </row>
    <row r="13" ht="17.4" spans="1:3">
      <c r="A13" s="22" t="s">
        <v>427</v>
      </c>
      <c r="B13" s="22" t="s">
        <v>455</v>
      </c>
      <c r="C13" s="23" t="s">
        <v>553</v>
      </c>
    </row>
    <row r="14" ht="17.4" spans="1:3">
      <c r="A14" s="22" t="s">
        <v>427</v>
      </c>
      <c r="B14" s="22" t="s">
        <v>457</v>
      </c>
      <c r="C14" s="23" t="s">
        <v>555</v>
      </c>
    </row>
    <row r="15" ht="17.4" spans="1:3">
      <c r="A15" s="22" t="s">
        <v>427</v>
      </c>
      <c r="B15" s="22" t="s">
        <v>459</v>
      </c>
      <c r="C15" s="23" t="s">
        <v>557</v>
      </c>
    </row>
    <row r="16" ht="17.4" spans="1:3">
      <c r="A16" s="22" t="s">
        <v>427</v>
      </c>
      <c r="B16" s="22" t="s">
        <v>461</v>
      </c>
      <c r="C16" s="23" t="s">
        <v>494</v>
      </c>
    </row>
    <row r="17" ht="17.4" spans="1:3">
      <c r="A17" s="22" t="s">
        <v>427</v>
      </c>
      <c r="B17" s="22" t="s">
        <v>463</v>
      </c>
      <c r="C17" s="23" t="s">
        <v>496</v>
      </c>
    </row>
    <row r="18" ht="17.4" spans="1:3">
      <c r="A18" s="22" t="s">
        <v>427</v>
      </c>
      <c r="B18" s="22" t="s">
        <v>465</v>
      </c>
      <c r="C18" s="23" t="s">
        <v>498</v>
      </c>
    </row>
    <row r="19" ht="17.4" spans="1:3">
      <c r="A19" s="22" t="s">
        <v>427</v>
      </c>
      <c r="B19" s="22" t="s">
        <v>467</v>
      </c>
      <c r="C19" s="23" t="s">
        <v>500</v>
      </c>
    </row>
    <row r="20" ht="17.4" spans="1:3">
      <c r="A20" s="22" t="s">
        <v>427</v>
      </c>
      <c r="B20" s="22" t="s">
        <v>469</v>
      </c>
      <c r="C20" s="23" t="s">
        <v>502</v>
      </c>
    </row>
    <row r="21" ht="17.4" spans="1:3">
      <c r="A21" s="22" t="s">
        <v>427</v>
      </c>
      <c r="B21" s="22" t="s">
        <v>471</v>
      </c>
      <c r="C21" s="23" t="s">
        <v>504</v>
      </c>
    </row>
    <row r="22" ht="17.4" spans="1:3">
      <c r="A22" s="22" t="s">
        <v>427</v>
      </c>
      <c r="B22" s="22" t="s">
        <v>473</v>
      </c>
      <c r="C22" s="23" t="s">
        <v>506</v>
      </c>
    </row>
    <row r="23" ht="17.4" spans="1:3">
      <c r="A23" s="22" t="s">
        <v>427</v>
      </c>
      <c r="B23" s="22" t="s">
        <v>475</v>
      </c>
      <c r="C23" s="23" t="s">
        <v>508</v>
      </c>
    </row>
    <row r="24" ht="17.4" spans="1:3">
      <c r="A24" s="22" t="s">
        <v>427</v>
      </c>
      <c r="B24" s="22" t="s">
        <v>477</v>
      </c>
      <c r="C24" s="23" t="s">
        <v>510</v>
      </c>
    </row>
    <row r="25" ht="17.4" spans="1:3">
      <c r="A25" s="22" t="s">
        <v>427</v>
      </c>
      <c r="B25" s="22" t="s">
        <v>479</v>
      </c>
      <c r="C25" s="23" t="s">
        <v>512</v>
      </c>
    </row>
    <row r="26" ht="17.4" spans="1:3">
      <c r="A26" s="22" t="s">
        <v>427</v>
      </c>
      <c r="B26" s="22" t="s">
        <v>481</v>
      </c>
      <c r="C26" s="23" t="s">
        <v>514</v>
      </c>
    </row>
    <row r="27" ht="17.4" spans="1:3">
      <c r="A27" s="22" t="s">
        <v>427</v>
      </c>
      <c r="B27" s="22" t="s">
        <v>484</v>
      </c>
      <c r="C27" s="23" t="s">
        <v>516</v>
      </c>
    </row>
    <row r="28" ht="17.4" spans="1:3">
      <c r="A28" s="22" t="s">
        <v>427</v>
      </c>
      <c r="B28" s="22" t="s">
        <v>486</v>
      </c>
      <c r="C28" s="23" t="s">
        <v>518</v>
      </c>
    </row>
    <row r="29" ht="17.4" spans="1:3">
      <c r="A29" s="22" t="s">
        <v>427</v>
      </c>
      <c r="B29" s="22" t="s">
        <v>488</v>
      </c>
      <c r="C29" s="23" t="s">
        <v>520</v>
      </c>
    </row>
    <row r="30" ht="17.4" spans="1:3">
      <c r="A30" s="22" t="s">
        <v>427</v>
      </c>
      <c r="B30" s="22" t="s">
        <v>490</v>
      </c>
      <c r="C30" s="23" t="s">
        <v>522</v>
      </c>
    </row>
    <row r="31" ht="17.4" spans="1:3">
      <c r="A31" s="22" t="s">
        <v>427</v>
      </c>
      <c r="B31" s="22" t="s">
        <v>492</v>
      </c>
      <c r="C31" s="23" t="s">
        <v>524</v>
      </c>
    </row>
    <row r="32" ht="17.4" spans="1:3">
      <c r="A32" s="22" t="s">
        <v>427</v>
      </c>
      <c r="B32" s="22" t="s">
        <v>495</v>
      </c>
      <c r="C32" s="23" t="s">
        <v>526</v>
      </c>
    </row>
    <row r="33" ht="17.4" spans="1:3">
      <c r="A33" s="22" t="s">
        <v>427</v>
      </c>
      <c r="B33" s="22" t="s">
        <v>497</v>
      </c>
      <c r="C33" s="23" t="s">
        <v>528</v>
      </c>
    </row>
    <row r="34" ht="17.4" spans="1:3">
      <c r="A34" s="22" t="s">
        <v>427</v>
      </c>
      <c r="B34" s="22" t="s">
        <v>499</v>
      </c>
      <c r="C34" s="23" t="s">
        <v>622</v>
      </c>
    </row>
    <row r="35" ht="17.4" spans="1:3">
      <c r="A35" s="22" t="s">
        <v>427</v>
      </c>
      <c r="B35" s="22" t="s">
        <v>501</v>
      </c>
      <c r="C35" s="23" t="s">
        <v>624</v>
      </c>
    </row>
    <row r="36" ht="17.4" spans="1:3">
      <c r="A36" s="22" t="s">
        <v>427</v>
      </c>
      <c r="B36" s="22" t="s">
        <v>503</v>
      </c>
      <c r="C36" s="23" t="s">
        <v>626</v>
      </c>
    </row>
    <row r="37" ht="17.4" spans="1:3">
      <c r="A37" s="22" t="s">
        <v>427</v>
      </c>
      <c r="B37" s="22" t="s">
        <v>505</v>
      </c>
      <c r="C37" s="23" t="s">
        <v>628</v>
      </c>
    </row>
    <row r="38" ht="17.4" spans="1:3">
      <c r="A38" s="22" t="s">
        <v>427</v>
      </c>
      <c r="B38" s="22" t="s">
        <v>507</v>
      </c>
      <c r="C38" s="23" t="s">
        <v>630</v>
      </c>
    </row>
    <row r="39" ht="17.4" spans="1:3">
      <c r="A39" s="22" t="s">
        <v>427</v>
      </c>
      <c r="B39" s="22" t="s">
        <v>509</v>
      </c>
      <c r="C39" s="23" t="s">
        <v>632</v>
      </c>
    </row>
    <row r="40" ht="17.4" spans="1:3">
      <c r="A40" s="22" t="s">
        <v>427</v>
      </c>
      <c r="B40" s="22" t="s">
        <v>511</v>
      </c>
      <c r="C40" s="23" t="s">
        <v>634</v>
      </c>
    </row>
    <row r="41" ht="17.4" spans="1:3">
      <c r="A41" s="22" t="s">
        <v>427</v>
      </c>
      <c r="B41" s="22" t="s">
        <v>513</v>
      </c>
      <c r="C41" s="22" t="s">
        <v>636</v>
      </c>
    </row>
    <row r="42" ht="17.4" spans="1:3">
      <c r="A42" s="22" t="s">
        <v>427</v>
      </c>
      <c r="B42" s="22" t="s">
        <v>515</v>
      </c>
      <c r="C42" s="23" t="s">
        <v>592</v>
      </c>
    </row>
    <row r="43" ht="17.4" spans="1:3">
      <c r="A43" s="22" t="s">
        <v>427</v>
      </c>
      <c r="B43" s="22" t="s">
        <v>517</v>
      </c>
      <c r="C43" s="23" t="s">
        <v>594</v>
      </c>
    </row>
    <row r="44" ht="17.4" spans="1:3">
      <c r="A44" s="22" t="s">
        <v>427</v>
      </c>
      <c r="B44" s="22" t="s">
        <v>519</v>
      </c>
      <c r="C44" s="23" t="s">
        <v>581</v>
      </c>
    </row>
    <row r="45" ht="17.4" spans="1:3">
      <c r="A45" s="22" t="s">
        <v>427</v>
      </c>
      <c r="B45" s="22" t="s">
        <v>521</v>
      </c>
      <c r="C45" s="23" t="s">
        <v>583</v>
      </c>
    </row>
    <row r="46" ht="17.4" spans="1:3">
      <c r="A46" s="22" t="s">
        <v>427</v>
      </c>
      <c r="B46" s="22" t="s">
        <v>523</v>
      </c>
      <c r="C46" s="23" t="s">
        <v>585</v>
      </c>
    </row>
    <row r="47" ht="17.4" spans="1:3">
      <c r="A47" s="22" t="s">
        <v>427</v>
      </c>
      <c r="B47" s="22" t="s">
        <v>525</v>
      </c>
      <c r="C47" s="23" t="s">
        <v>587</v>
      </c>
    </row>
    <row r="48" ht="17.4" spans="1:3">
      <c r="A48" s="22" t="s">
        <v>427</v>
      </c>
      <c r="B48" s="22" t="s">
        <v>527</v>
      </c>
      <c r="C48" s="23" t="s">
        <v>607</v>
      </c>
    </row>
    <row r="49" ht="17.4" spans="1:3">
      <c r="A49" s="22" t="s">
        <v>427</v>
      </c>
      <c r="B49" s="22" t="s">
        <v>529</v>
      </c>
      <c r="C49" s="23" t="s">
        <v>615</v>
      </c>
    </row>
    <row r="50" ht="17.4" spans="1:3">
      <c r="A50" s="22" t="s">
        <v>427</v>
      </c>
      <c r="B50" s="22" t="s">
        <v>531</v>
      </c>
      <c r="C50" s="23" t="s">
        <v>450</v>
      </c>
    </row>
    <row r="51" ht="17.4" spans="1:3">
      <c r="A51" s="22" t="s">
        <v>427</v>
      </c>
      <c r="B51" s="22" t="s">
        <v>533</v>
      </c>
      <c r="C51" s="23" t="s">
        <v>452</v>
      </c>
    </row>
    <row r="52" ht="17.4" spans="1:3">
      <c r="A52" s="22" t="s">
        <v>427</v>
      </c>
      <c r="B52" s="22" t="s">
        <v>535</v>
      </c>
      <c r="C52" s="23" t="s">
        <v>454</v>
      </c>
    </row>
    <row r="53" ht="17.4" spans="1:3">
      <c r="A53" s="22" t="s">
        <v>427</v>
      </c>
      <c r="B53" s="22" t="s">
        <v>537</v>
      </c>
      <c r="C53" s="23" t="s">
        <v>456</v>
      </c>
    </row>
    <row r="54" ht="17.4" spans="1:3">
      <c r="A54" s="22" t="s">
        <v>427</v>
      </c>
      <c r="B54" s="22" t="s">
        <v>539</v>
      </c>
      <c r="C54" s="23" t="s">
        <v>458</v>
      </c>
    </row>
    <row r="55" ht="17.4" spans="1:3">
      <c r="A55" s="22" t="s">
        <v>427</v>
      </c>
      <c r="B55" s="22" t="s">
        <v>541</v>
      </c>
      <c r="C55" s="23" t="s">
        <v>460</v>
      </c>
    </row>
    <row r="56" ht="17.4" spans="1:3">
      <c r="A56" s="22" t="s">
        <v>427</v>
      </c>
      <c r="B56" s="22" t="s">
        <v>543</v>
      </c>
      <c r="C56" s="23" t="s">
        <v>462</v>
      </c>
    </row>
    <row r="57" ht="17.4" spans="1:3">
      <c r="A57" s="22" t="s">
        <v>427</v>
      </c>
      <c r="B57" s="22" t="s">
        <v>546</v>
      </c>
      <c r="C57" s="23" t="s">
        <v>464</v>
      </c>
    </row>
    <row r="58" ht="17.4" spans="1:3">
      <c r="A58" s="22" t="s">
        <v>427</v>
      </c>
      <c r="B58" s="22" t="s">
        <v>548</v>
      </c>
      <c r="C58" s="23" t="s">
        <v>466</v>
      </c>
    </row>
    <row r="59" ht="17.4" spans="1:3">
      <c r="A59" s="22" t="s">
        <v>427</v>
      </c>
      <c r="B59" s="22" t="s">
        <v>550</v>
      </c>
      <c r="C59" s="23" t="s">
        <v>468</v>
      </c>
    </row>
    <row r="60" ht="17.4" spans="1:3">
      <c r="A60" s="22" t="s">
        <v>427</v>
      </c>
      <c r="B60" s="22" t="s">
        <v>552</v>
      </c>
      <c r="C60" s="23" t="s">
        <v>470</v>
      </c>
    </row>
    <row r="61" ht="17.4" spans="1:3">
      <c r="A61" s="22" t="s">
        <v>427</v>
      </c>
      <c r="B61" s="22" t="s">
        <v>554</v>
      </c>
      <c r="C61" s="23" t="s">
        <v>472</v>
      </c>
    </row>
    <row r="62" ht="17.4" spans="1:3">
      <c r="A62" s="22" t="s">
        <v>427</v>
      </c>
      <c r="B62" s="22" t="s">
        <v>556</v>
      </c>
      <c r="C62" s="23" t="s">
        <v>474</v>
      </c>
    </row>
    <row r="63" ht="17.4" spans="1:3">
      <c r="A63" s="22" t="s">
        <v>427</v>
      </c>
      <c r="B63" s="22" t="s">
        <v>558</v>
      </c>
      <c r="C63" s="23" t="s">
        <v>476</v>
      </c>
    </row>
    <row r="64" ht="17.4" spans="1:3">
      <c r="A64" s="22" t="s">
        <v>427</v>
      </c>
      <c r="B64" s="22" t="s">
        <v>560</v>
      </c>
      <c r="C64" s="23" t="s">
        <v>483</v>
      </c>
    </row>
    <row r="65" ht="17.4" spans="1:3">
      <c r="A65" s="22" t="s">
        <v>427</v>
      </c>
      <c r="B65" s="22" t="s">
        <v>562</v>
      </c>
      <c r="C65" s="23" t="s">
        <v>485</v>
      </c>
    </row>
    <row r="66" ht="17.4" spans="1:3">
      <c r="A66" s="22" t="s">
        <v>427</v>
      </c>
      <c r="B66" s="22" t="s">
        <v>564</v>
      </c>
      <c r="C66" s="23" t="s">
        <v>487</v>
      </c>
    </row>
    <row r="67" ht="17.4" spans="1:3">
      <c r="A67" s="22" t="s">
        <v>427</v>
      </c>
      <c r="B67" s="22" t="s">
        <v>566</v>
      </c>
      <c r="C67" s="23" t="s">
        <v>489</v>
      </c>
    </row>
    <row r="68" ht="17.4" spans="1:3">
      <c r="A68" s="22" t="s">
        <v>427</v>
      </c>
      <c r="B68" s="22" t="s">
        <v>569</v>
      </c>
      <c r="C68" s="23" t="s">
        <v>568</v>
      </c>
    </row>
    <row r="69" ht="17.4" spans="1:3">
      <c r="A69" s="22" t="s">
        <v>427</v>
      </c>
      <c r="B69" s="22" t="s">
        <v>571</v>
      </c>
      <c r="C69" s="23" t="s">
        <v>570</v>
      </c>
    </row>
    <row r="70" ht="17.4" spans="1:3">
      <c r="A70" s="22" t="s">
        <v>427</v>
      </c>
      <c r="B70" s="22" t="s">
        <v>573</v>
      </c>
      <c r="C70" s="23" t="s">
        <v>572</v>
      </c>
    </row>
    <row r="71" ht="17.4" spans="1:3">
      <c r="A71" s="22" t="s">
        <v>427</v>
      </c>
      <c r="B71" s="22" t="s">
        <v>575</v>
      </c>
      <c r="C71" s="23" t="s">
        <v>574</v>
      </c>
    </row>
    <row r="72" ht="17.4" spans="1:3">
      <c r="A72" s="22" t="s">
        <v>427</v>
      </c>
      <c r="B72" s="22" t="s">
        <v>577</v>
      </c>
      <c r="C72" s="23" t="s">
        <v>576</v>
      </c>
    </row>
    <row r="73" ht="17.4" spans="1:3">
      <c r="A73" s="22" t="s">
        <v>427</v>
      </c>
      <c r="B73" s="22" t="s">
        <v>579</v>
      </c>
      <c r="C73" s="23" t="s">
        <v>578</v>
      </c>
    </row>
    <row r="74" ht="17.4" spans="1:3">
      <c r="A74" s="22" t="s">
        <v>427</v>
      </c>
      <c r="B74" s="22" t="s">
        <v>582</v>
      </c>
      <c r="C74" s="23" t="s">
        <v>445</v>
      </c>
    </row>
    <row r="75" ht="17.4" spans="1:3">
      <c r="A75" s="22" t="s">
        <v>427</v>
      </c>
      <c r="B75" s="22" t="s">
        <v>584</v>
      </c>
      <c r="C75" s="23" t="s">
        <v>2053</v>
      </c>
    </row>
    <row r="76" ht="17.4" spans="1:3">
      <c r="A76" s="22" t="s">
        <v>427</v>
      </c>
      <c r="B76" s="22" t="s">
        <v>586</v>
      </c>
      <c r="C76" s="23" t="s">
        <v>559</v>
      </c>
    </row>
    <row r="77" ht="17.4" spans="1:3">
      <c r="A77" s="22" t="s">
        <v>427</v>
      </c>
      <c r="B77" s="22" t="s">
        <v>588</v>
      </c>
      <c r="C77" s="23" t="s">
        <v>561</v>
      </c>
    </row>
    <row r="78" ht="17.4" spans="1:3">
      <c r="A78" s="22" t="s">
        <v>427</v>
      </c>
      <c r="B78" s="22" t="s">
        <v>590</v>
      </c>
      <c r="C78" s="23" t="s">
        <v>563</v>
      </c>
    </row>
    <row r="79" ht="17.4" spans="1:3">
      <c r="A79" s="22" t="s">
        <v>427</v>
      </c>
      <c r="B79" s="22" t="s">
        <v>593</v>
      </c>
      <c r="C79" s="23" t="s">
        <v>530</v>
      </c>
    </row>
    <row r="80" ht="17.4" spans="1:3">
      <c r="A80" s="22" t="s">
        <v>427</v>
      </c>
      <c r="B80" s="22" t="s">
        <v>595</v>
      </c>
      <c r="C80" s="23" t="s">
        <v>532</v>
      </c>
    </row>
    <row r="81" ht="17.4" spans="1:3">
      <c r="A81" s="22" t="s">
        <v>427</v>
      </c>
      <c r="B81" s="22" t="s">
        <v>597</v>
      </c>
      <c r="C81" s="23" t="s">
        <v>534</v>
      </c>
    </row>
    <row r="82" ht="17.4" spans="1:3">
      <c r="A82" s="22" t="s">
        <v>427</v>
      </c>
      <c r="B82" s="22" t="s">
        <v>599</v>
      </c>
      <c r="C82" s="23" t="s">
        <v>536</v>
      </c>
    </row>
    <row r="83" ht="17.4" spans="1:3">
      <c r="A83" s="22" t="s">
        <v>427</v>
      </c>
      <c r="B83" s="22" t="s">
        <v>601</v>
      </c>
      <c r="C83" s="23" t="s">
        <v>538</v>
      </c>
    </row>
    <row r="84" ht="17.4" spans="1:3">
      <c r="A84" s="22" t="s">
        <v>427</v>
      </c>
      <c r="B84" s="22" t="s">
        <v>603</v>
      </c>
      <c r="C84" s="23" t="s">
        <v>540</v>
      </c>
    </row>
    <row r="85" ht="17.4" spans="1:3">
      <c r="A85" s="22" t="s">
        <v>427</v>
      </c>
      <c r="B85" s="22" t="s">
        <v>606</v>
      </c>
      <c r="C85" s="23" t="s">
        <v>542</v>
      </c>
    </row>
    <row r="86" ht="17.4" spans="1:3">
      <c r="A86" s="22" t="s">
        <v>427</v>
      </c>
      <c r="B86" s="22" t="s">
        <v>608</v>
      </c>
      <c r="C86" s="23" t="s">
        <v>638</v>
      </c>
    </row>
    <row r="87" ht="17.4" spans="1:3">
      <c r="A87" s="22" t="s">
        <v>427</v>
      </c>
      <c r="B87" s="22" t="s">
        <v>610</v>
      </c>
      <c r="C87" s="23" t="s">
        <v>179</v>
      </c>
    </row>
    <row r="88" ht="17.4" spans="1:3">
      <c r="A88" s="22" t="s">
        <v>427</v>
      </c>
      <c r="B88" s="22" t="s">
        <v>612</v>
      </c>
      <c r="C88" s="23" t="s">
        <v>596</v>
      </c>
    </row>
    <row r="89" ht="17.4" spans="1:3">
      <c r="A89" s="22" t="s">
        <v>427</v>
      </c>
      <c r="B89" s="22" t="s">
        <v>614</v>
      </c>
      <c r="C89" s="23" t="s">
        <v>598</v>
      </c>
    </row>
    <row r="90" ht="17.4" spans="1:3">
      <c r="A90" s="22" t="s">
        <v>427</v>
      </c>
      <c r="B90" s="22" t="s">
        <v>616</v>
      </c>
      <c r="C90" s="23" t="s">
        <v>600</v>
      </c>
    </row>
    <row r="91" ht="17.4" spans="1:3">
      <c r="A91" s="22" t="s">
        <v>427</v>
      </c>
      <c r="B91" s="22" t="s">
        <v>618</v>
      </c>
      <c r="C91" s="23" t="s">
        <v>602</v>
      </c>
    </row>
    <row r="92" ht="17.4" spans="1:3">
      <c r="A92" s="22" t="s">
        <v>427</v>
      </c>
      <c r="B92" s="22" t="s">
        <v>620</v>
      </c>
      <c r="C92" s="23" t="s">
        <v>589</v>
      </c>
    </row>
    <row r="93" ht="17.4" spans="1:3">
      <c r="A93" s="22" t="s">
        <v>427</v>
      </c>
      <c r="B93" s="22" t="s">
        <v>623</v>
      </c>
      <c r="C93" s="23" t="s">
        <v>605</v>
      </c>
    </row>
    <row r="94" ht="17.4" spans="1:3">
      <c r="A94" s="22" t="s">
        <v>427</v>
      </c>
      <c r="B94" s="22" t="s">
        <v>625</v>
      </c>
      <c r="C94" s="23" t="s">
        <v>613</v>
      </c>
    </row>
    <row r="95" ht="17.4" spans="1:3">
      <c r="A95" s="22" t="s">
        <v>427</v>
      </c>
      <c r="B95" s="22" t="s">
        <v>627</v>
      </c>
      <c r="C95" s="23" t="s">
        <v>609</v>
      </c>
    </row>
    <row r="96" ht="17.4" spans="1:3">
      <c r="A96" s="22" t="s">
        <v>427</v>
      </c>
      <c r="B96" s="22" t="s">
        <v>629</v>
      </c>
      <c r="C96" s="23" t="s">
        <v>611</v>
      </c>
    </row>
    <row r="97" ht="17.4" spans="1:3">
      <c r="A97" s="22" t="s">
        <v>427</v>
      </c>
      <c r="B97" s="22" t="s">
        <v>631</v>
      </c>
      <c r="C97" s="23" t="s">
        <v>617</v>
      </c>
    </row>
    <row r="98" ht="17.4" spans="1:3">
      <c r="A98" s="22" t="s">
        <v>427</v>
      </c>
      <c r="B98" s="22" t="s">
        <v>633</v>
      </c>
      <c r="C98" s="23" t="s">
        <v>619</v>
      </c>
    </row>
    <row r="99" ht="17.4" spans="1:3">
      <c r="A99" s="22" t="s">
        <v>427</v>
      </c>
      <c r="B99" s="22" t="s">
        <v>635</v>
      </c>
      <c r="C99" s="23" t="s">
        <v>478</v>
      </c>
    </row>
    <row r="100" ht="17.4" spans="1:3">
      <c r="A100" s="22" t="s">
        <v>427</v>
      </c>
      <c r="B100" s="22" t="s">
        <v>637</v>
      </c>
      <c r="C100" s="23" t="s">
        <v>480</v>
      </c>
    </row>
    <row r="101" ht="17.4" spans="1:3">
      <c r="A101" s="22" t="s">
        <v>427</v>
      </c>
      <c r="B101" s="22" t="s">
        <v>639</v>
      </c>
      <c r="C101" s="23" t="s">
        <v>491</v>
      </c>
    </row>
    <row r="102" ht="17.4" spans="1:3">
      <c r="A102" s="22" t="s">
        <v>427</v>
      </c>
      <c r="B102" s="22" t="s">
        <v>640</v>
      </c>
      <c r="C102" s="23" t="s">
        <v>648</v>
      </c>
    </row>
    <row r="103" ht="17.4" spans="1:3">
      <c r="A103" s="22" t="s">
        <v>427</v>
      </c>
      <c r="B103" s="22" t="s">
        <v>642</v>
      </c>
      <c r="C103" s="23" t="s">
        <v>650</v>
      </c>
    </row>
    <row r="104" ht="17.4" spans="1:3">
      <c r="A104" s="22" t="s">
        <v>427</v>
      </c>
      <c r="B104" s="22" t="s">
        <v>644</v>
      </c>
      <c r="C104" s="23" t="s">
        <v>652</v>
      </c>
    </row>
    <row r="105" ht="17.4" spans="1:3">
      <c r="A105" s="22" t="s">
        <v>427</v>
      </c>
      <c r="B105" s="22" t="s">
        <v>646</v>
      </c>
      <c r="C105" s="23" t="s">
        <v>654</v>
      </c>
    </row>
    <row r="106" ht="17.4" spans="1:3">
      <c r="A106" s="22" t="s">
        <v>427</v>
      </c>
      <c r="B106" s="22" t="s">
        <v>649</v>
      </c>
      <c r="C106" s="23" t="s">
        <v>663</v>
      </c>
    </row>
    <row r="107" ht="17.4" spans="1:3">
      <c r="A107" s="22" t="s">
        <v>427</v>
      </c>
      <c r="B107" s="22" t="s">
        <v>651</v>
      </c>
      <c r="C107" s="23" t="s">
        <v>665</v>
      </c>
    </row>
    <row r="108" ht="17.4" spans="1:3">
      <c r="A108" s="22" t="s">
        <v>427</v>
      </c>
      <c r="B108" s="22" t="s">
        <v>653</v>
      </c>
      <c r="C108" s="23" t="s">
        <v>667</v>
      </c>
    </row>
    <row r="109" ht="17.4" spans="1:3">
      <c r="A109" s="22" t="s">
        <v>427</v>
      </c>
      <c r="B109" s="22" t="s">
        <v>655</v>
      </c>
      <c r="C109" s="23" t="s">
        <v>669</v>
      </c>
    </row>
    <row r="110" ht="17.4" spans="1:3">
      <c r="A110" s="22" t="s">
        <v>427</v>
      </c>
      <c r="B110" s="22" t="s">
        <v>657</v>
      </c>
      <c r="C110" s="23" t="s">
        <v>671</v>
      </c>
    </row>
    <row r="111" ht="17.4" spans="1:3">
      <c r="A111" s="22" t="s">
        <v>427</v>
      </c>
      <c r="B111" s="22" t="s">
        <v>659</v>
      </c>
      <c r="C111" s="23" t="s">
        <v>2054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500"/>
  <sheetViews>
    <sheetView workbookViewId="0">
      <pane xSplit="2" ySplit="3" topLeftCell="C4" activePane="bottomRight" state="frozen"/>
      <selection/>
      <selection pane="topRight"/>
      <selection pane="bottomLeft"/>
      <selection pane="bottomRight" activeCell="A19" sqref="A19"/>
    </sheetView>
  </sheetViews>
  <sheetFormatPr defaultColWidth="9" defaultRowHeight="20.1" customHeight="1"/>
  <cols>
    <col min="1" max="1" width="9" style="1"/>
    <col min="2" max="2" width="26.2222222222222" style="2" customWidth="1"/>
    <col min="3" max="3" width="6" style="2" customWidth="1"/>
    <col min="4" max="4" width="12.1111111111111" style="1" customWidth="1"/>
    <col min="5" max="5" width="13.8888888888889" style="2" customWidth="1"/>
    <col min="6" max="6" width="17.1111111111111" style="2" customWidth="1"/>
    <col min="7" max="7" width="15.3333333333333" style="2" customWidth="1"/>
    <col min="8" max="10" width="9" style="1"/>
    <col min="11" max="11" width="12" style="1" customWidth="1"/>
    <col min="12" max="14" width="9" style="1"/>
    <col min="15" max="15" width="8.88888888888889"/>
    <col min="16" max="16" width="9" style="1" hidden="1" customWidth="1"/>
    <col min="17" max="17" width="25.8888888888889" style="2" hidden="1" customWidth="1"/>
    <col min="18" max="16384" width="9" style="1"/>
  </cols>
  <sheetData>
    <row r="1" customHeight="1" spans="2:3">
      <c r="B1" s="1">
        <f>MAX('物料分类表 R22'!B2:B1466)</f>
        <v>319</v>
      </c>
      <c r="C1" s="1"/>
    </row>
    <row r="2" customHeight="1" spans="2:7">
      <c r="B2" s="1"/>
      <c r="C2" s="1"/>
      <c r="D2" s="1" t="s">
        <v>131</v>
      </c>
      <c r="E2" s="1" t="s">
        <v>127</v>
      </c>
      <c r="F2" s="1" t="s">
        <v>129</v>
      </c>
      <c r="G2" s="1" t="s">
        <v>2055</v>
      </c>
    </row>
    <row r="3" customHeight="1" spans="2:7">
      <c r="B3" s="1" t="s">
        <v>2056</v>
      </c>
      <c r="C3" s="1"/>
      <c r="D3" s="1">
        <v>5</v>
      </c>
      <c r="E3" s="1">
        <v>1</v>
      </c>
      <c r="F3" s="1">
        <v>2</v>
      </c>
      <c r="G3" s="1">
        <v>3</v>
      </c>
    </row>
    <row r="4" customHeight="1" spans="1:17">
      <c r="A4" s="1">
        <f>IF(MAX($A$2:A3)=$B$1,"",MAX($A$2:A3)+1)</f>
        <v>1</v>
      </c>
      <c r="B4" s="2" t="e">
        <f>IF(COUNT($A4)=0,"",VLOOKUP($A4,'物料分类表 R22'!$B$2:$H$1090,C4*2,FALSE))</f>
        <v>#REF!</v>
      </c>
      <c r="C4" s="2" t="e">
        <f>SUMIFS('物料分类表 R22'!#REF!,'物料分类表 R22'!$B$2:$B$1090,A4)</f>
        <v>#REF!</v>
      </c>
      <c r="D4" s="2" t="e">
        <f>IF(COUNT($A4)=0,"",IF(VLOOKUP($A4,'物料分类表 R22'!$B$2:$H$1090,D$3*2,FALSE)=0,D3,VLOOKUP($A4,'物料分类表 R22'!$B$2:$H$1090,D$3*2,FALSE)))</f>
        <v>#REF!</v>
      </c>
      <c r="E4" s="1" t="e">
        <f t="shared" ref="E4:E41" si="0">IF(COUNT($A4)=0,"",VLOOKUP(MID($D4,1,1),$P:$Q,2,FALSE))</f>
        <v>#REF!</v>
      </c>
      <c r="F4" s="1" t="e">
        <f t="shared" ref="F4:F41" si="1">IF(COUNT($A4)=0,"",VLOOKUP(MID($D4,1,2),$P:$Q,2,FALSE))</f>
        <v>#REF!</v>
      </c>
      <c r="G4" s="1" t="e">
        <f t="shared" ref="G4:G41" si="2">IF(COUNT($A4)=0,"",IF(C4=4,IF(COUNT($A4)=0,"",VLOOKUP(MID($D4,1,3),$P:$Q,2,FALSE)),""))</f>
        <v>#REF!</v>
      </c>
      <c r="H4" s="20"/>
      <c r="P4" s="1" t="s">
        <v>82</v>
      </c>
      <c r="Q4" s="2" t="s">
        <v>1</v>
      </c>
    </row>
    <row r="5" customHeight="1" spans="1:17">
      <c r="A5" s="1">
        <f>IF(MAX($A$2:A4)=$B$1,"",MAX($A$2:A4)+1)</f>
        <v>2</v>
      </c>
      <c r="B5" s="2" t="e">
        <f>IF(COUNT($A5)=0,"",VLOOKUP($A5,'物料分类表 R22'!$B$2:$H$1090,C5*2,FALSE))</f>
        <v>#REF!</v>
      </c>
      <c r="C5" s="2" t="e">
        <f>SUMIFS('物料分类表 R22'!#REF!,'物料分类表 R22'!$B$2:$B$1090,A5)</f>
        <v>#REF!</v>
      </c>
      <c r="D5" s="2" t="e">
        <f>IF(COUNT($A5)=0,"",IF(VLOOKUP($A5,'物料分类表 R22'!$B$2:$H$1090,D$3*2,FALSE)=0,D4,VLOOKUP($A5,'物料分类表 R22'!$B$2:$H$1090,D$3*2,FALSE)))</f>
        <v>#REF!</v>
      </c>
      <c r="E5" s="1" t="e">
        <f t="shared" si="0"/>
        <v>#REF!</v>
      </c>
      <c r="F5" s="1" t="e">
        <f t="shared" si="1"/>
        <v>#REF!</v>
      </c>
      <c r="G5" s="1" t="e">
        <f t="shared" si="2"/>
        <v>#REF!</v>
      </c>
      <c r="P5" s="1" t="s">
        <v>104</v>
      </c>
      <c r="Q5" s="2" t="s">
        <v>107</v>
      </c>
    </row>
    <row r="6" customHeight="1" spans="1:17">
      <c r="A6" s="1">
        <f>IF(MAX($A$2:A5)=$B$1,"",MAX($A$2:A5)+1)</f>
        <v>3</v>
      </c>
      <c r="B6" s="2" t="e">
        <f>IF(COUNT($A6)=0,"",VLOOKUP($A6,'物料分类表 R22'!$B$2:$H$1090,C6*2,FALSE))</f>
        <v>#REF!</v>
      </c>
      <c r="C6" s="2" t="e">
        <f>SUMIFS('物料分类表 R22'!#REF!,'物料分类表 R22'!$B$2:$B$1090,A6)</f>
        <v>#REF!</v>
      </c>
      <c r="D6" s="2" t="e">
        <f>IF(COUNT($A6)=0,"",IF(VLOOKUP($A6,'物料分类表 R22'!$B$2:$H$1090,D$3*2,FALSE)=0,D5,VLOOKUP($A6,'物料分类表 R22'!$B$2:$H$1090,D$3*2,FALSE)))</f>
        <v>#REF!</v>
      </c>
      <c r="E6" s="1" t="e">
        <f t="shared" si="0"/>
        <v>#REF!</v>
      </c>
      <c r="F6" s="1" t="e">
        <f t="shared" si="1"/>
        <v>#REF!</v>
      </c>
      <c r="G6" s="1" t="e">
        <f t="shared" si="2"/>
        <v>#REF!</v>
      </c>
      <c r="P6" s="1" t="s">
        <v>62</v>
      </c>
      <c r="Q6" s="2" t="s">
        <v>427</v>
      </c>
    </row>
    <row r="7" customHeight="1" spans="1:17">
      <c r="A7" s="1">
        <f>IF(MAX($A$2:A6)=$B$1,"",MAX($A$2:A6)+1)</f>
        <v>4</v>
      </c>
      <c r="B7" s="2" t="e">
        <f>IF(COUNT($A7)=0,"",VLOOKUP($A7,'物料分类表 R22'!$B$2:$H$1090,C7*2,FALSE))</f>
        <v>#REF!</v>
      </c>
      <c r="C7" s="2" t="e">
        <f>SUMIFS('物料分类表 R22'!#REF!,'物料分类表 R22'!$B$2:$B$1090,A7)</f>
        <v>#REF!</v>
      </c>
      <c r="D7" s="2" t="e">
        <f>IF(COUNT($A7)=0,"",IF(VLOOKUP($A7,'物料分类表 R22'!$B$2:$H$1090,D$3*2,FALSE)=0,D6,VLOOKUP($A7,'物料分类表 R22'!$B$2:$H$1090,D$3*2,FALSE)))</f>
        <v>#REF!</v>
      </c>
      <c r="E7" s="1" t="e">
        <f t="shared" si="0"/>
        <v>#REF!</v>
      </c>
      <c r="F7" s="1" t="e">
        <f t="shared" si="1"/>
        <v>#REF!</v>
      </c>
      <c r="G7" s="1" t="e">
        <f t="shared" si="2"/>
        <v>#REF!</v>
      </c>
      <c r="P7" s="1" t="s">
        <v>66</v>
      </c>
      <c r="Q7" s="2" t="s">
        <v>2057</v>
      </c>
    </row>
    <row r="8" customHeight="1" spans="1:17">
      <c r="A8" s="1">
        <f>IF(MAX($A$2:A7)=$B$1,"",MAX($A$2:A7)+1)</f>
        <v>5</v>
      </c>
      <c r="B8" s="2" t="e">
        <f>IF(COUNT($A8)=0,"",VLOOKUP($A8,'物料分类表 R22'!$B$2:$H$1090,C8*2,FALSE))</f>
        <v>#REF!</v>
      </c>
      <c r="C8" s="2" t="e">
        <f>SUMIFS('物料分类表 R22'!#REF!,'物料分类表 R22'!$B$2:$B$1090,A8)</f>
        <v>#REF!</v>
      </c>
      <c r="D8" s="2" t="e">
        <f>IF(COUNT($A8)=0,"",IF(VLOOKUP($A8,'物料分类表 R22'!$B$2:$H$1090,D$3*2,FALSE)=0,D7,VLOOKUP($A8,'物料分类表 R22'!$B$2:$H$1090,D$3*2,FALSE)))</f>
        <v>#REF!</v>
      </c>
      <c r="E8" s="1" t="e">
        <f t="shared" si="0"/>
        <v>#REF!</v>
      </c>
      <c r="F8" s="1" t="e">
        <f t="shared" si="1"/>
        <v>#REF!</v>
      </c>
      <c r="G8" s="1" t="e">
        <f t="shared" si="2"/>
        <v>#REF!</v>
      </c>
      <c r="P8" s="1" t="s">
        <v>2058</v>
      </c>
      <c r="Q8" s="2" t="s">
        <v>1</v>
      </c>
    </row>
    <row r="9" customHeight="1" spans="1:17">
      <c r="A9" s="1">
        <f>IF(MAX($A$2:A8)=$B$1,"",MAX($A$2:A8)+1)</f>
        <v>6</v>
      </c>
      <c r="B9" s="2" t="e">
        <f>IF(COUNT($A9)=0,"",VLOOKUP($A9,'物料分类表 R22'!$B$2:$H$1090,C9*2,FALSE))</f>
        <v>#REF!</v>
      </c>
      <c r="C9" s="2" t="e">
        <f>SUMIFS('物料分类表 R22'!#REF!,'物料分类表 R22'!$B$2:$B$1090,A9)</f>
        <v>#REF!</v>
      </c>
      <c r="D9" s="2" t="e">
        <f>IF(COUNT($A9)=0,"",IF(VLOOKUP($A9,'物料分类表 R22'!$B$2:$H$1090,D$3*2,FALSE)=0,D8,VLOOKUP($A9,'物料分类表 R22'!$B$2:$H$1090,D$3*2,FALSE)))</f>
        <v>#REF!</v>
      </c>
      <c r="E9" s="1" t="e">
        <f t="shared" si="0"/>
        <v>#REF!</v>
      </c>
      <c r="F9" s="1" t="e">
        <f t="shared" si="1"/>
        <v>#REF!</v>
      </c>
      <c r="G9" s="1" t="e">
        <f t="shared" si="2"/>
        <v>#REF!</v>
      </c>
      <c r="P9" s="1" t="s">
        <v>2059</v>
      </c>
      <c r="Q9" s="2" t="s">
        <v>108</v>
      </c>
    </row>
    <row r="10" customHeight="1" spans="1:17">
      <c r="A10" s="1">
        <f>IF(MAX($A$2:A9)=$B$1,"",MAX($A$2:A9)+1)</f>
        <v>7</v>
      </c>
      <c r="B10" s="2" t="e">
        <f>IF(COUNT($A10)=0,"",VLOOKUP($A10,'物料分类表 R22'!$B$2:$H$1090,C10*2,FALSE))</f>
        <v>#REF!</v>
      </c>
      <c r="C10" s="2" t="e">
        <f>SUMIFS('物料分类表 R22'!#REF!,'物料分类表 R22'!$B$2:$B$1090,A10)</f>
        <v>#REF!</v>
      </c>
      <c r="D10" s="2" t="e">
        <f>IF(COUNT($A10)=0,"",IF(VLOOKUP($A10,'物料分类表 R22'!$B$2:$H$1090,D$3*2,FALSE)=0,D9,VLOOKUP($A10,'物料分类表 R22'!$B$2:$H$1090,D$3*2,FALSE)))</f>
        <v>#REF!</v>
      </c>
      <c r="E10" s="1" t="e">
        <f t="shared" si="0"/>
        <v>#REF!</v>
      </c>
      <c r="F10" s="1" t="e">
        <f t="shared" si="1"/>
        <v>#REF!</v>
      </c>
      <c r="G10" s="1" t="e">
        <f t="shared" si="2"/>
        <v>#REF!</v>
      </c>
      <c r="P10" s="1" t="s">
        <v>2060</v>
      </c>
      <c r="Q10" s="2" t="s">
        <v>113</v>
      </c>
    </row>
    <row r="11" customHeight="1" spans="1:17">
      <c r="A11" s="1">
        <f>IF(MAX($A$2:A10)=$B$1,"",MAX($A$2:A10)+1)</f>
        <v>8</v>
      </c>
      <c r="B11" s="2" t="e">
        <f>IF(COUNT($A11)=0,"",VLOOKUP($A11,'物料分类表 R22'!$B$2:$H$1090,C11*2,FALSE))</f>
        <v>#REF!</v>
      </c>
      <c r="C11" s="2" t="e">
        <f>SUMIFS('物料分类表 R22'!#REF!,'物料分类表 R22'!$B$2:$B$1090,A11)</f>
        <v>#REF!</v>
      </c>
      <c r="D11" s="2" t="e">
        <f>IF(COUNT($A11)=0,"",IF(VLOOKUP($A11,'物料分类表 R22'!$B$2:$H$1090,D$3*2,FALSE)=0,D10,VLOOKUP($A11,'物料分类表 R22'!$B$2:$H$1090,D$3*2,FALSE)))</f>
        <v>#REF!</v>
      </c>
      <c r="E11" s="1" t="e">
        <f t="shared" si="0"/>
        <v>#REF!</v>
      </c>
      <c r="F11" s="1" t="e">
        <f t="shared" si="1"/>
        <v>#REF!</v>
      </c>
      <c r="G11" s="1" t="e">
        <f t="shared" si="2"/>
        <v>#REF!</v>
      </c>
      <c r="P11" s="1" t="s">
        <v>2061</v>
      </c>
      <c r="Q11" s="2" t="s">
        <v>115</v>
      </c>
    </row>
    <row r="12" customHeight="1" spans="1:17">
      <c r="A12" s="1">
        <f>IF(MAX($A$2:A11)=$B$1,"",MAX($A$2:A11)+1)</f>
        <v>9</v>
      </c>
      <c r="B12" s="2" t="e">
        <f>IF(COUNT($A12)=0,"",VLOOKUP($A12,'物料分类表 R22'!$B$2:$H$1090,C12*2,FALSE))</f>
        <v>#REF!</v>
      </c>
      <c r="C12" s="2" t="e">
        <f>SUMIFS('物料分类表 R22'!#REF!,'物料分类表 R22'!$B$2:$B$1090,A12)</f>
        <v>#REF!</v>
      </c>
      <c r="D12" s="2" t="e">
        <f>IF(COUNT($A12)=0,"",IF(VLOOKUP($A12,'物料分类表 R22'!$B$2:$H$1090,D$3*2,FALSE)=0,D11,VLOOKUP($A12,'物料分类表 R22'!$B$2:$H$1090,D$3*2,FALSE)))</f>
        <v>#REF!</v>
      </c>
      <c r="E12" s="1" t="e">
        <f t="shared" si="0"/>
        <v>#REF!</v>
      </c>
      <c r="F12" s="1" t="e">
        <f t="shared" si="1"/>
        <v>#REF!</v>
      </c>
      <c r="G12" s="1" t="e">
        <f t="shared" si="2"/>
        <v>#REF!</v>
      </c>
      <c r="P12" s="1" t="s">
        <v>2062</v>
      </c>
      <c r="Q12" s="2" t="s">
        <v>117</v>
      </c>
    </row>
    <row r="13" customHeight="1" spans="1:17">
      <c r="A13" s="1">
        <f>IF(MAX($A$2:A12)=$B$1,"",MAX($A$2:A12)+1)</f>
        <v>10</v>
      </c>
      <c r="B13" s="2" t="e">
        <f>IF(COUNT($A13)=0,"",VLOOKUP($A13,'物料分类表 R22'!$B$2:$H$1090,C13*2,FALSE))</f>
        <v>#REF!</v>
      </c>
      <c r="C13" s="2" t="e">
        <f>SUMIFS('物料分类表 R22'!#REF!,'物料分类表 R22'!$B$2:$B$1090,A13)</f>
        <v>#REF!</v>
      </c>
      <c r="D13" s="2" t="e">
        <f>IF(COUNT($A13)=0,"",IF(VLOOKUP($A13,'物料分类表 R22'!$B$2:$H$1090,D$3*2,FALSE)=0,D12,VLOOKUP($A13,'物料分类表 R22'!$B$2:$H$1090,D$3*2,FALSE)))</f>
        <v>#REF!</v>
      </c>
      <c r="E13" s="1" t="e">
        <f t="shared" si="0"/>
        <v>#REF!</v>
      </c>
      <c r="F13" s="1" t="e">
        <f t="shared" si="1"/>
        <v>#REF!</v>
      </c>
      <c r="G13" s="1" t="e">
        <f t="shared" si="2"/>
        <v>#REF!</v>
      </c>
      <c r="P13" s="1" t="s">
        <v>2063</v>
      </c>
      <c r="Q13" s="2" t="s">
        <v>2064</v>
      </c>
    </row>
    <row r="14" customHeight="1" spans="1:17">
      <c r="A14" s="1">
        <f>IF(MAX($A$2:A13)=$B$1,"",MAX($A$2:A13)+1)</f>
        <v>11</v>
      </c>
      <c r="B14" s="2" t="e">
        <f>IF(COUNT($A14)=0,"",VLOOKUP($A14,'物料分类表 R22'!$B$2:$H$1090,C14*2,FALSE))</f>
        <v>#REF!</v>
      </c>
      <c r="C14" s="2" t="e">
        <f>SUMIFS('物料分类表 R22'!#REF!,'物料分类表 R22'!$B$2:$B$1090,A14)</f>
        <v>#REF!</v>
      </c>
      <c r="D14" s="2" t="e">
        <f>IF(COUNT($A14)=0,"",IF(VLOOKUP($A14,'物料分类表 R22'!$B$2:$H$1090,D$3*2,FALSE)=0,D13,VLOOKUP($A14,'物料分类表 R22'!$B$2:$H$1090,D$3*2,FALSE)))</f>
        <v>#REF!</v>
      </c>
      <c r="E14" s="1" t="e">
        <f t="shared" si="0"/>
        <v>#REF!</v>
      </c>
      <c r="F14" s="1" t="e">
        <f t="shared" si="1"/>
        <v>#REF!</v>
      </c>
      <c r="G14" s="1" t="e">
        <f t="shared" si="2"/>
        <v>#REF!</v>
      </c>
      <c r="P14" s="1" t="s">
        <v>116</v>
      </c>
      <c r="Q14" s="2" t="s">
        <v>2065</v>
      </c>
    </row>
    <row r="15" customHeight="1" spans="1:17">
      <c r="A15" s="1">
        <f>IF(MAX($A$2:A14)=$B$1,"",MAX($A$2:A14)+1)</f>
        <v>12</v>
      </c>
      <c r="B15" s="2" t="e">
        <f>IF(COUNT($A15)=0,"",VLOOKUP($A15,'物料分类表 R22'!$B$2:$H$1090,C15*2,FALSE))</f>
        <v>#REF!</v>
      </c>
      <c r="C15" s="2" t="e">
        <f>SUMIFS('物料分类表 R22'!#REF!,'物料分类表 R22'!$B$2:$B$1090,A15)</f>
        <v>#REF!</v>
      </c>
      <c r="D15" s="2" t="e">
        <f>IF(COUNT($A15)=0,"",IF(VLOOKUP($A15,'物料分类表 R22'!$B$2:$H$1090,D$3*2,FALSE)=0,D14,VLOOKUP($A15,'物料分类表 R22'!$B$2:$H$1090,D$3*2,FALSE)))</f>
        <v>#REF!</v>
      </c>
      <c r="E15" s="1" t="e">
        <f t="shared" si="0"/>
        <v>#REF!</v>
      </c>
      <c r="F15" s="1" t="e">
        <f t="shared" si="1"/>
        <v>#REF!</v>
      </c>
      <c r="G15" s="1" t="e">
        <f t="shared" si="2"/>
        <v>#REF!</v>
      </c>
      <c r="P15" s="1" t="s">
        <v>2066</v>
      </c>
      <c r="Q15" s="2" t="s">
        <v>2067</v>
      </c>
    </row>
    <row r="16" customHeight="1" spans="1:17">
      <c r="A16" s="1">
        <f>IF(MAX($A$2:A15)=$B$1,"",MAX($A$2:A15)+1)</f>
        <v>13</v>
      </c>
      <c r="B16" s="2" t="e">
        <f>IF(COUNT($A16)=0,"",VLOOKUP($A16,'物料分类表 R22'!$B$2:$H$1090,C16*2,FALSE))</f>
        <v>#REF!</v>
      </c>
      <c r="C16" s="2" t="e">
        <f>SUMIFS('物料分类表 R22'!#REF!,'物料分类表 R22'!$B$2:$B$1090,A16)</f>
        <v>#REF!</v>
      </c>
      <c r="D16" s="2" t="e">
        <f>IF(COUNT($A16)=0,"",IF(VLOOKUP($A16,'物料分类表 R22'!$B$2:$H$1090,D$3*2,FALSE)=0,D15,VLOOKUP($A16,'物料分类表 R22'!$B$2:$H$1090,D$3*2,FALSE)))</f>
        <v>#REF!</v>
      </c>
      <c r="E16" s="1" t="e">
        <f t="shared" si="0"/>
        <v>#REF!</v>
      </c>
      <c r="F16" s="1" t="e">
        <f t="shared" si="1"/>
        <v>#REF!</v>
      </c>
      <c r="G16" s="1" t="e">
        <f t="shared" si="2"/>
        <v>#REF!</v>
      </c>
      <c r="P16" s="1" t="s">
        <v>2068</v>
      </c>
      <c r="Q16" s="2" t="s">
        <v>482</v>
      </c>
    </row>
    <row r="17" customHeight="1" spans="1:17">
      <c r="A17" s="1">
        <f>IF(MAX($A$2:A16)=$B$1,"",MAX($A$2:A16)+1)</f>
        <v>14</v>
      </c>
      <c r="B17" s="2" t="e">
        <f>IF(COUNT($A17)=0,"",VLOOKUP($A17,'物料分类表 R22'!$B$2:$H$1090,C17*2,FALSE))</f>
        <v>#REF!</v>
      </c>
      <c r="C17" s="2" t="e">
        <f>SUMIFS('物料分类表 R22'!#REF!,'物料分类表 R22'!$B$2:$B$1090,A17)</f>
        <v>#REF!</v>
      </c>
      <c r="D17" s="2" t="e">
        <f>IF(COUNT($A17)=0,"",IF(VLOOKUP($A17,'物料分类表 R22'!$B$2:$H$1090,D$3*2,FALSE)=0,D16,VLOOKUP($A17,'物料分类表 R22'!$B$2:$H$1090,D$3*2,FALSE)))</f>
        <v>#REF!</v>
      </c>
      <c r="E17" s="1" t="e">
        <f t="shared" si="0"/>
        <v>#REF!</v>
      </c>
      <c r="F17" s="1" t="e">
        <f t="shared" si="1"/>
        <v>#REF!</v>
      </c>
      <c r="G17" s="1" t="e">
        <f t="shared" si="2"/>
        <v>#REF!</v>
      </c>
      <c r="P17" s="1" t="s">
        <v>2069</v>
      </c>
      <c r="Q17" s="2" t="s">
        <v>2070</v>
      </c>
    </row>
    <row r="18" customHeight="1" spans="1:17">
      <c r="A18" s="1">
        <f>IF(MAX($A$2:A17)=$B$1,"",MAX($A$2:A17)+1)</f>
        <v>15</v>
      </c>
      <c r="B18" s="2" t="e">
        <f>IF(COUNT($A18)=0,"",VLOOKUP($A18,'物料分类表 R22'!$B$2:$H$1090,C18*2,FALSE))</f>
        <v>#REF!</v>
      </c>
      <c r="C18" s="2" t="e">
        <f>SUMIFS('物料分类表 R22'!#REF!,'物料分类表 R22'!$B$2:$B$1090,A18)</f>
        <v>#REF!</v>
      </c>
      <c r="D18" s="2" t="e">
        <f>IF(COUNT($A18)=0,"",IF(VLOOKUP($A18,'物料分类表 R22'!$B$2:$H$1090,D$3*2,FALSE)=0,D17,VLOOKUP($A18,'物料分类表 R22'!$B$2:$H$1090,D$3*2,FALSE)))</f>
        <v>#REF!</v>
      </c>
      <c r="E18" s="1" t="e">
        <f t="shared" si="0"/>
        <v>#REF!</v>
      </c>
      <c r="F18" s="1" t="e">
        <f t="shared" si="1"/>
        <v>#REF!</v>
      </c>
      <c r="G18" s="1" t="e">
        <f t="shared" si="2"/>
        <v>#REF!</v>
      </c>
      <c r="P18" s="1" t="s">
        <v>2071</v>
      </c>
      <c r="Q18" s="2" t="s">
        <v>2072</v>
      </c>
    </row>
    <row r="19" customHeight="1" spans="1:17">
      <c r="A19" s="1">
        <f>IF(MAX($A$2:A18)=$B$1,"",MAX($A$2:A18)+1)</f>
        <v>16</v>
      </c>
      <c r="B19" s="2" t="e">
        <f>IF(COUNT($A19)=0,"",VLOOKUP($A19,'物料分类表 R22'!$B$2:$H$1090,C19*2,FALSE))</f>
        <v>#REF!</v>
      </c>
      <c r="C19" s="2" t="e">
        <f>SUMIFS('物料分类表 R22'!#REF!,'物料分类表 R22'!$B$2:$B$1090,A19)</f>
        <v>#REF!</v>
      </c>
      <c r="D19" s="2" t="e">
        <f>IF(COUNT($A19)=0,"",IF(VLOOKUP($A19,'物料分类表 R22'!$B$2:$H$1090,D$3*2,FALSE)=0,D18,VLOOKUP($A19,'物料分类表 R22'!$B$2:$H$1090,D$3*2,FALSE)))</f>
        <v>#REF!</v>
      </c>
      <c r="E19" s="1" t="e">
        <f t="shared" si="0"/>
        <v>#REF!</v>
      </c>
      <c r="F19" s="1" t="e">
        <f t="shared" si="1"/>
        <v>#REF!</v>
      </c>
      <c r="G19" s="1" t="e">
        <f t="shared" si="2"/>
        <v>#REF!</v>
      </c>
      <c r="P19" s="1" t="s">
        <v>2073</v>
      </c>
      <c r="Q19" s="2" t="s">
        <v>2074</v>
      </c>
    </row>
    <row r="20" customHeight="1" spans="1:17">
      <c r="A20" s="1">
        <f>IF(MAX($A$2:A19)=$B$1,"",MAX($A$2:A19)+1)</f>
        <v>17</v>
      </c>
      <c r="B20" s="2" t="e">
        <f>IF(COUNT($A20)=0,"",VLOOKUP($A20,'物料分类表 R22'!$B$2:$H$1090,C20*2,FALSE))</f>
        <v>#REF!</v>
      </c>
      <c r="C20" s="2" t="e">
        <f>SUMIFS('物料分类表 R22'!#REF!,'物料分类表 R22'!$B$2:$B$1090,A20)</f>
        <v>#REF!</v>
      </c>
      <c r="D20" s="2" t="e">
        <f>IF(COUNT($A20)=0,"",IF(VLOOKUP($A20,'物料分类表 R22'!$B$2:$H$1090,D$3*2,FALSE)=0,D19,VLOOKUP($A20,'物料分类表 R22'!$B$2:$H$1090,D$3*2,FALSE)))</f>
        <v>#REF!</v>
      </c>
      <c r="E20" s="1" t="e">
        <f t="shared" si="0"/>
        <v>#REF!</v>
      </c>
      <c r="F20" s="1" t="e">
        <f t="shared" si="1"/>
        <v>#REF!</v>
      </c>
      <c r="G20" s="1" t="e">
        <f t="shared" si="2"/>
        <v>#REF!</v>
      </c>
      <c r="P20" s="1" t="s">
        <v>2075</v>
      </c>
      <c r="Q20" s="2" t="s">
        <v>2076</v>
      </c>
    </row>
    <row r="21" customHeight="1" spans="1:17">
      <c r="A21" s="1">
        <f>IF(MAX($A$2:A20)=$B$1,"",MAX($A$2:A20)+1)</f>
        <v>18</v>
      </c>
      <c r="B21" s="2" t="e">
        <f>IF(COUNT($A21)=0,"",VLOOKUP($A21,'物料分类表 R22'!$B$2:$H$1090,C21*2,FALSE))</f>
        <v>#REF!</v>
      </c>
      <c r="C21" s="2" t="e">
        <f>SUMIFS('物料分类表 R22'!#REF!,'物料分类表 R22'!$B$2:$B$1090,A21)</f>
        <v>#REF!</v>
      </c>
      <c r="D21" s="2" t="e">
        <f>IF(COUNT($A21)=0,"",IF(VLOOKUP($A21,'物料分类表 R22'!$B$2:$H$1090,D$3*2,FALSE)=0,D20,VLOOKUP($A21,'物料分类表 R22'!$B$2:$H$1090,D$3*2,FALSE)))</f>
        <v>#REF!</v>
      </c>
      <c r="E21" s="1" t="e">
        <f t="shared" si="0"/>
        <v>#REF!</v>
      </c>
      <c r="F21" s="1" t="e">
        <f t="shared" si="1"/>
        <v>#REF!</v>
      </c>
      <c r="G21" s="1" t="e">
        <f t="shared" si="2"/>
        <v>#REF!</v>
      </c>
      <c r="P21" s="1" t="s">
        <v>2077</v>
      </c>
      <c r="Q21" s="2" t="s">
        <v>2078</v>
      </c>
    </row>
    <row r="22" customHeight="1" spans="1:17">
      <c r="A22" s="1">
        <f>IF(MAX($A$2:A21)=$B$1,"",MAX($A$2:A21)+1)</f>
        <v>19</v>
      </c>
      <c r="B22" s="2" t="e">
        <f>IF(COUNT($A22)=0,"",VLOOKUP($A22,'物料分类表 R22'!$B$2:$H$1090,C22*2,FALSE))</f>
        <v>#REF!</v>
      </c>
      <c r="C22" s="2" t="e">
        <f>SUMIFS('物料分类表 R22'!#REF!,'物料分类表 R22'!$B$2:$B$1090,A22)</f>
        <v>#REF!</v>
      </c>
      <c r="D22" s="2" t="e">
        <f>IF(COUNT($A22)=0,"",IF(VLOOKUP($A22,'物料分类表 R22'!$B$2:$H$1090,D$3*2,FALSE)=0,D21,VLOOKUP($A22,'物料分类表 R22'!$B$2:$H$1090,D$3*2,FALSE)))</f>
        <v>#REF!</v>
      </c>
      <c r="E22" s="1" t="e">
        <f t="shared" si="0"/>
        <v>#REF!</v>
      </c>
      <c r="F22" s="1" t="e">
        <f t="shared" si="1"/>
        <v>#REF!</v>
      </c>
      <c r="G22" s="1" t="e">
        <f t="shared" si="2"/>
        <v>#REF!</v>
      </c>
      <c r="P22" s="1" t="s">
        <v>2079</v>
      </c>
      <c r="Q22" s="2" t="s">
        <v>675</v>
      </c>
    </row>
    <row r="23" customHeight="1" spans="1:17">
      <c r="A23" s="1">
        <f>IF(MAX($A$2:A22)=$B$1,"",MAX($A$2:A22)+1)</f>
        <v>20</v>
      </c>
      <c r="B23" s="2" t="e">
        <f>IF(COUNT($A23)=0,"",VLOOKUP($A23,'物料分类表 R22'!$B$2:$H$1090,C23*2,FALSE))</f>
        <v>#REF!</v>
      </c>
      <c r="C23" s="2" t="e">
        <f>SUMIFS('物料分类表 R22'!#REF!,'物料分类表 R22'!$B$2:$B$1090,A23)</f>
        <v>#REF!</v>
      </c>
      <c r="D23" s="2" t="e">
        <f>IF(COUNT($A23)=0,"",IF(VLOOKUP($A23,'物料分类表 R22'!$B$2:$H$1090,D$3*2,FALSE)=0,D22,VLOOKUP($A23,'物料分类表 R22'!$B$2:$H$1090,D$3*2,FALSE)))</f>
        <v>#REF!</v>
      </c>
      <c r="E23" s="1" t="e">
        <f t="shared" si="0"/>
        <v>#REF!</v>
      </c>
      <c r="F23" s="1" t="e">
        <f t="shared" si="1"/>
        <v>#REF!</v>
      </c>
      <c r="G23" s="1" t="e">
        <f t="shared" si="2"/>
        <v>#REF!</v>
      </c>
      <c r="P23" s="1" t="s">
        <v>2080</v>
      </c>
      <c r="Q23" s="2" t="s">
        <v>2081</v>
      </c>
    </row>
    <row r="24" customHeight="1" spans="1:17">
      <c r="A24" s="1">
        <f>IF(MAX($A$2:A23)=$B$1,"",MAX($A$2:A23)+1)</f>
        <v>21</v>
      </c>
      <c r="B24" s="2" t="e">
        <f>IF(COUNT($A24)=0,"",VLOOKUP($A24,'物料分类表 R22'!$B$2:$H$1090,C24*2,FALSE))</f>
        <v>#REF!</v>
      </c>
      <c r="C24" s="2" t="e">
        <f>SUMIFS('物料分类表 R22'!#REF!,'物料分类表 R22'!$B$2:$B$1090,A24)</f>
        <v>#REF!</v>
      </c>
      <c r="D24" s="2" t="e">
        <f>IF(COUNT($A24)=0,"",IF(VLOOKUP($A24,'物料分类表 R22'!$B$2:$H$1090,D$3*2,FALSE)=0,D23,VLOOKUP($A24,'物料分类表 R22'!$B$2:$H$1090,D$3*2,FALSE)))</f>
        <v>#REF!</v>
      </c>
      <c r="E24" s="1" t="e">
        <f t="shared" si="0"/>
        <v>#REF!</v>
      </c>
      <c r="F24" s="1" t="e">
        <f t="shared" si="1"/>
        <v>#REF!</v>
      </c>
      <c r="G24" s="1" t="e">
        <f t="shared" si="2"/>
        <v>#REF!</v>
      </c>
      <c r="P24" s="1" t="s">
        <v>2082</v>
      </c>
      <c r="Q24" s="2" t="s">
        <v>716</v>
      </c>
    </row>
    <row r="25" customHeight="1" spans="1:17">
      <c r="A25" s="1">
        <f>IF(MAX($A$2:A24)=$B$1,"",MAX($A$2:A24)+1)</f>
        <v>22</v>
      </c>
      <c r="B25" s="2" t="e">
        <f>IF(COUNT($A25)=0,"",VLOOKUP($A25,'物料分类表 R22'!$B$2:$H$1090,C25*2,FALSE))</f>
        <v>#REF!</v>
      </c>
      <c r="C25" s="2" t="e">
        <f>SUMIFS('物料分类表 R22'!#REF!,'物料分类表 R22'!$B$2:$B$1090,A25)</f>
        <v>#REF!</v>
      </c>
      <c r="D25" s="2" t="e">
        <f>IF(COUNT($A25)=0,"",IF(VLOOKUP($A25,'物料分类表 R22'!$B$2:$H$1090,D$3*2,FALSE)=0,D24,VLOOKUP($A25,'物料分类表 R22'!$B$2:$H$1090,D$3*2,FALSE)))</f>
        <v>#REF!</v>
      </c>
      <c r="E25" s="1" t="e">
        <f t="shared" si="0"/>
        <v>#REF!</v>
      </c>
      <c r="F25" s="1" t="e">
        <f t="shared" si="1"/>
        <v>#REF!</v>
      </c>
      <c r="G25" s="1" t="e">
        <f t="shared" si="2"/>
        <v>#REF!</v>
      </c>
      <c r="P25" s="1" t="s">
        <v>2083</v>
      </c>
      <c r="Q25" s="2" t="s">
        <v>2084</v>
      </c>
    </row>
    <row r="26" customHeight="1" spans="1:17">
      <c r="A26" s="1">
        <f>IF(MAX($A$2:A25)=$B$1,"",MAX($A$2:A25)+1)</f>
        <v>23</v>
      </c>
      <c r="B26" s="2" t="e">
        <f>IF(COUNT($A26)=0,"",VLOOKUP($A26,'物料分类表 R22'!$B$2:$H$1090,C26*2,FALSE))</f>
        <v>#REF!</v>
      </c>
      <c r="C26" s="2" t="e">
        <f>SUMIFS('物料分类表 R22'!#REF!,'物料分类表 R22'!$B$2:$B$1090,A26)</f>
        <v>#REF!</v>
      </c>
      <c r="D26" s="2" t="e">
        <f>IF(COUNT($A26)=0,"",IF(VLOOKUP($A26,'物料分类表 R22'!$B$2:$H$1090,D$3*2,FALSE)=0,D25,VLOOKUP($A26,'物料分类表 R22'!$B$2:$H$1090,D$3*2,FALSE)))</f>
        <v>#REF!</v>
      </c>
      <c r="E26" s="1" t="e">
        <f t="shared" si="0"/>
        <v>#REF!</v>
      </c>
      <c r="F26" s="1" t="e">
        <f t="shared" si="1"/>
        <v>#REF!</v>
      </c>
      <c r="G26" s="1" t="e">
        <f t="shared" si="2"/>
        <v>#REF!</v>
      </c>
      <c r="P26" s="1" t="s">
        <v>2085</v>
      </c>
      <c r="Q26" s="2" t="s">
        <v>2086</v>
      </c>
    </row>
    <row r="27" customHeight="1" spans="1:17">
      <c r="A27" s="1">
        <f>IF(MAX($A$2:A26)=$B$1,"",MAX($A$2:A26)+1)</f>
        <v>24</v>
      </c>
      <c r="B27" s="2" t="e">
        <f>IF(COUNT($A27)=0,"",VLOOKUP($A27,'物料分类表 R22'!$B$2:$H$1090,C27*2,FALSE))</f>
        <v>#REF!</v>
      </c>
      <c r="C27" s="2" t="e">
        <f>SUMIFS('物料分类表 R22'!#REF!,'物料分类表 R22'!$B$2:$B$1090,A27)</f>
        <v>#REF!</v>
      </c>
      <c r="D27" s="2" t="e">
        <f>IF(COUNT($A27)=0,"",IF(VLOOKUP($A27,'物料分类表 R22'!$B$2:$H$1090,D$3*2,FALSE)=0,D26,VLOOKUP($A27,'物料分类表 R22'!$B$2:$H$1090,D$3*2,FALSE)))</f>
        <v>#REF!</v>
      </c>
      <c r="E27" s="1" t="e">
        <f t="shared" si="0"/>
        <v>#REF!</v>
      </c>
      <c r="F27" s="1" t="e">
        <f t="shared" si="1"/>
        <v>#REF!</v>
      </c>
      <c r="G27" s="1" t="e">
        <f t="shared" si="2"/>
        <v>#REF!</v>
      </c>
      <c r="P27" s="1" t="s">
        <v>2087</v>
      </c>
      <c r="Q27" s="2" t="s">
        <v>721</v>
      </c>
    </row>
    <row r="28" customHeight="1" spans="1:17">
      <c r="A28" s="1">
        <f>IF(MAX($A$2:A27)=$B$1,"",MAX($A$2:A27)+1)</f>
        <v>25</v>
      </c>
      <c r="B28" s="2" t="e">
        <f>IF(COUNT($A28)=0,"",VLOOKUP($A28,'物料分类表 R22'!$B$2:$H$1090,C28*2,FALSE))</f>
        <v>#REF!</v>
      </c>
      <c r="C28" s="2" t="e">
        <f>SUMIFS('物料分类表 R22'!#REF!,'物料分类表 R22'!$B$2:$B$1090,A28)</f>
        <v>#REF!</v>
      </c>
      <c r="D28" s="2" t="e">
        <f>IF(COUNT($A28)=0,"",IF(VLOOKUP($A28,'物料分类表 R22'!$B$2:$H$1090,D$3*2,FALSE)=0,D27,VLOOKUP($A28,'物料分类表 R22'!$B$2:$H$1090,D$3*2,FALSE)))</f>
        <v>#REF!</v>
      </c>
      <c r="E28" s="1" t="e">
        <f t="shared" si="0"/>
        <v>#REF!</v>
      </c>
      <c r="F28" s="1" t="e">
        <f t="shared" si="1"/>
        <v>#REF!</v>
      </c>
      <c r="G28" s="1" t="e">
        <f t="shared" si="2"/>
        <v>#REF!</v>
      </c>
      <c r="P28" s="1" t="s">
        <v>2088</v>
      </c>
      <c r="Q28" s="2" t="s">
        <v>2089</v>
      </c>
    </row>
    <row r="29" customHeight="1" spans="1:17">
      <c r="A29" s="1">
        <f>IF(MAX($A$2:A28)=$B$1,"",MAX($A$2:A28)+1)</f>
        <v>26</v>
      </c>
      <c r="B29" s="2" t="e">
        <f>IF(COUNT($A29)=0,"",VLOOKUP($A29,'物料分类表 R22'!$B$2:$H$1090,C29*2,FALSE))</f>
        <v>#REF!</v>
      </c>
      <c r="C29" s="2" t="e">
        <f>SUMIFS('物料分类表 R22'!#REF!,'物料分类表 R22'!$B$2:$B$1090,A29)</f>
        <v>#REF!</v>
      </c>
      <c r="D29" s="2" t="e">
        <f>IF(COUNT($A29)=0,"",IF(VLOOKUP($A29,'物料分类表 R22'!$B$2:$H$1090,D$3*2,FALSE)=0,D28,VLOOKUP($A29,'物料分类表 R22'!$B$2:$H$1090,D$3*2,FALSE)))</f>
        <v>#REF!</v>
      </c>
      <c r="E29" s="1" t="e">
        <f t="shared" si="0"/>
        <v>#REF!</v>
      </c>
      <c r="F29" s="1" t="e">
        <f t="shared" si="1"/>
        <v>#REF!</v>
      </c>
      <c r="G29" s="1" t="e">
        <f t="shared" si="2"/>
        <v>#REF!</v>
      </c>
      <c r="P29" s="1" t="s">
        <v>2090</v>
      </c>
      <c r="Q29" s="2" t="s">
        <v>2091</v>
      </c>
    </row>
    <row r="30" customHeight="1" spans="1:17">
      <c r="A30" s="1">
        <f>IF(MAX($A$2:A29)=$B$1,"",MAX($A$2:A29)+1)</f>
        <v>27</v>
      </c>
      <c r="B30" s="2" t="e">
        <f>IF(COUNT($A30)=0,"",VLOOKUP($A30,'物料分类表 R22'!$B$2:$H$1090,C30*2,FALSE))</f>
        <v>#REF!</v>
      </c>
      <c r="C30" s="2" t="e">
        <f>SUMIFS('物料分类表 R22'!#REF!,'物料分类表 R22'!$B$2:$B$1090,A30)</f>
        <v>#REF!</v>
      </c>
      <c r="D30" s="2" t="e">
        <f>IF(COUNT($A30)=0,"",IF(VLOOKUP($A30,'物料分类表 R22'!$B$2:$H$1090,D$3*2,FALSE)=0,D29,VLOOKUP($A30,'物料分类表 R22'!$B$2:$H$1090,D$3*2,FALSE)))</f>
        <v>#REF!</v>
      </c>
      <c r="E30" s="1" t="e">
        <f t="shared" si="0"/>
        <v>#REF!</v>
      </c>
      <c r="F30" s="1" t="e">
        <f t="shared" si="1"/>
        <v>#REF!</v>
      </c>
      <c r="G30" s="1" t="e">
        <f t="shared" si="2"/>
        <v>#REF!</v>
      </c>
      <c r="P30" s="1" t="s">
        <v>2092</v>
      </c>
      <c r="Q30" s="2" t="s">
        <v>133</v>
      </c>
    </row>
    <row r="31" customHeight="1" spans="1:17">
      <c r="A31" s="1">
        <f>IF(MAX($A$2:A30)=$B$1,"",MAX($A$2:A30)+1)</f>
        <v>28</v>
      </c>
      <c r="B31" s="2" t="e">
        <f>IF(COUNT($A31)=0,"",VLOOKUP($A31,'物料分类表 R22'!$B$2:$H$1090,C31*2,FALSE))</f>
        <v>#REF!</v>
      </c>
      <c r="C31" s="2" t="e">
        <f>SUMIFS('物料分类表 R22'!#REF!,'物料分类表 R22'!$B$2:$B$1090,A31)</f>
        <v>#REF!</v>
      </c>
      <c r="D31" s="2" t="e">
        <f>IF(COUNT($A31)=0,"",IF(VLOOKUP($A31,'物料分类表 R22'!$B$2:$H$1090,D$3*2,FALSE)=0,D30,VLOOKUP($A31,'物料分类表 R22'!$B$2:$H$1090,D$3*2,FALSE)))</f>
        <v>#REF!</v>
      </c>
      <c r="E31" s="1" t="e">
        <f t="shared" si="0"/>
        <v>#REF!</v>
      </c>
      <c r="F31" s="1" t="e">
        <f t="shared" si="1"/>
        <v>#REF!</v>
      </c>
      <c r="G31" s="1" t="e">
        <f t="shared" si="2"/>
        <v>#REF!</v>
      </c>
      <c r="P31" s="1" t="s">
        <v>2093</v>
      </c>
      <c r="Q31" s="2" t="s">
        <v>31</v>
      </c>
    </row>
    <row r="32" customHeight="1" spans="1:17">
      <c r="A32" s="1">
        <f>IF(MAX($A$2:A31)=$B$1,"",MAX($A$2:A31)+1)</f>
        <v>29</v>
      </c>
      <c r="B32" s="2" t="e">
        <f>IF(COUNT($A32)=0,"",VLOOKUP($A32,'物料分类表 R22'!$B$2:$H$1090,C32*2,FALSE))</f>
        <v>#REF!</v>
      </c>
      <c r="C32" s="2" t="e">
        <f>SUMIFS('物料分类表 R22'!#REF!,'物料分类表 R22'!$B$2:$B$1090,A32)</f>
        <v>#REF!</v>
      </c>
      <c r="D32" s="2" t="e">
        <f>IF(COUNT($A32)=0,"",IF(VLOOKUP($A32,'物料分类表 R22'!$B$2:$H$1090,D$3*2,FALSE)=0,D31,VLOOKUP($A32,'物料分类表 R22'!$B$2:$H$1090,D$3*2,FALSE)))</f>
        <v>#REF!</v>
      </c>
      <c r="E32" s="1" t="e">
        <f t="shared" si="0"/>
        <v>#REF!</v>
      </c>
      <c r="F32" s="1" t="e">
        <f t="shared" si="1"/>
        <v>#REF!</v>
      </c>
      <c r="G32" s="1" t="e">
        <f t="shared" si="2"/>
        <v>#REF!</v>
      </c>
      <c r="P32" s="1" t="s">
        <v>2094</v>
      </c>
      <c r="Q32" s="2" t="s">
        <v>41</v>
      </c>
    </row>
    <row r="33" customHeight="1" spans="1:17">
      <c r="A33" s="1">
        <f>IF(MAX($A$2:A32)=$B$1,"",MAX($A$2:A32)+1)</f>
        <v>30</v>
      </c>
      <c r="B33" s="2" t="e">
        <f>IF(COUNT($A33)=0,"",VLOOKUP($A33,'物料分类表 R22'!$B$2:$H$1090,C33*2,FALSE))</f>
        <v>#REF!</v>
      </c>
      <c r="C33" s="2" t="e">
        <f>SUMIFS('物料分类表 R22'!#REF!,'物料分类表 R22'!$B$2:$B$1090,A33)</f>
        <v>#REF!</v>
      </c>
      <c r="D33" s="2" t="e">
        <f>IF(COUNT($A33)=0,"",IF(VLOOKUP($A33,'物料分类表 R22'!$B$2:$H$1090,D$3*2,FALSE)=0,D32,VLOOKUP($A33,'物料分类表 R22'!$B$2:$H$1090,D$3*2,FALSE)))</f>
        <v>#REF!</v>
      </c>
      <c r="E33" s="1" t="e">
        <f t="shared" si="0"/>
        <v>#REF!</v>
      </c>
      <c r="F33" s="1" t="e">
        <f t="shared" si="1"/>
        <v>#REF!</v>
      </c>
      <c r="G33" s="1" t="e">
        <f t="shared" si="2"/>
        <v>#REF!</v>
      </c>
      <c r="P33" s="1" t="s">
        <v>2095</v>
      </c>
      <c r="Q33" s="2" t="s">
        <v>28</v>
      </c>
    </row>
    <row r="34" customHeight="1" spans="1:17">
      <c r="A34" s="1">
        <f>IF(MAX($A$2:A33)=$B$1,"",MAX($A$2:A33)+1)</f>
        <v>31</v>
      </c>
      <c r="B34" s="2" t="e">
        <f>IF(COUNT($A34)=0,"",VLOOKUP($A34,'物料分类表 R22'!$B$2:$H$1090,C34*2,FALSE))</f>
        <v>#REF!</v>
      </c>
      <c r="C34" s="2" t="e">
        <f>SUMIFS('物料分类表 R22'!#REF!,'物料分类表 R22'!$B$2:$B$1090,A34)</f>
        <v>#REF!</v>
      </c>
      <c r="D34" s="2" t="e">
        <f>IF(COUNT($A34)=0,"",IF(VLOOKUP($A34,'物料分类表 R22'!$B$2:$H$1090,D$3*2,FALSE)=0,D33,VLOOKUP($A34,'物料分类表 R22'!$B$2:$H$1090,D$3*2,FALSE)))</f>
        <v>#REF!</v>
      </c>
      <c r="E34" s="1" t="e">
        <f t="shared" si="0"/>
        <v>#REF!</v>
      </c>
      <c r="F34" s="1" t="e">
        <f t="shared" si="1"/>
        <v>#REF!</v>
      </c>
      <c r="G34" s="1" t="e">
        <f t="shared" si="2"/>
        <v>#REF!</v>
      </c>
      <c r="P34" s="1" t="s">
        <v>2096</v>
      </c>
      <c r="Q34" s="2" t="s">
        <v>35</v>
      </c>
    </row>
    <row r="35" customHeight="1" spans="1:17">
      <c r="A35" s="1">
        <f>IF(MAX($A$2:A34)=$B$1,"",MAX($A$2:A34)+1)</f>
        <v>32</v>
      </c>
      <c r="B35" s="2" t="e">
        <f>IF(COUNT($A35)=0,"",VLOOKUP($A35,'物料分类表 R22'!$B$2:$H$1090,C35*2,FALSE))</f>
        <v>#REF!</v>
      </c>
      <c r="C35" s="2" t="e">
        <f>SUMIFS('物料分类表 R22'!#REF!,'物料分类表 R22'!$B$2:$B$1090,A35)</f>
        <v>#REF!</v>
      </c>
      <c r="D35" s="2" t="e">
        <f>IF(COUNT($A35)=0,"",IF(VLOOKUP($A35,'物料分类表 R22'!$B$2:$H$1090,D$3*2,FALSE)=0,D34,VLOOKUP($A35,'物料分类表 R22'!$B$2:$H$1090,D$3*2,FALSE)))</f>
        <v>#REF!</v>
      </c>
      <c r="E35" s="1" t="e">
        <f t="shared" si="0"/>
        <v>#REF!</v>
      </c>
      <c r="F35" s="1" t="e">
        <f t="shared" si="1"/>
        <v>#REF!</v>
      </c>
      <c r="G35" s="1" t="e">
        <f t="shared" si="2"/>
        <v>#REF!</v>
      </c>
      <c r="P35" s="1" t="s">
        <v>2097</v>
      </c>
      <c r="Q35" s="2" t="s">
        <v>95</v>
      </c>
    </row>
    <row r="36" customHeight="1" spans="1:17">
      <c r="A36" s="1">
        <f>IF(MAX($A$2:A35)=$B$1,"",MAX($A$2:A35)+1)</f>
        <v>33</v>
      </c>
      <c r="B36" s="2" t="e">
        <f>IF(COUNT($A36)=0,"",VLOOKUP($A36,'物料分类表 R22'!$B$2:$H$1090,C36*2,FALSE))</f>
        <v>#REF!</v>
      </c>
      <c r="C36" s="2" t="e">
        <f>SUMIFS('物料分类表 R22'!#REF!,'物料分类表 R22'!$B$2:$B$1090,A36)</f>
        <v>#REF!</v>
      </c>
      <c r="D36" s="2" t="e">
        <f>IF(COUNT($A36)=0,"",IF(VLOOKUP($A36,'物料分类表 R22'!$B$2:$H$1090,D$3*2,FALSE)=0,D35,VLOOKUP($A36,'物料分类表 R22'!$B$2:$H$1090,D$3*2,FALSE)))</f>
        <v>#REF!</v>
      </c>
      <c r="E36" s="1" t="e">
        <f t="shared" si="0"/>
        <v>#REF!</v>
      </c>
      <c r="F36" s="1" t="e">
        <f t="shared" si="1"/>
        <v>#REF!</v>
      </c>
      <c r="G36" s="1" t="e">
        <f t="shared" si="2"/>
        <v>#REF!</v>
      </c>
      <c r="P36" s="1" t="s">
        <v>2098</v>
      </c>
      <c r="Q36" s="2" t="s">
        <v>2099</v>
      </c>
    </row>
    <row r="37" customHeight="1" spans="1:17">
      <c r="A37" s="1">
        <f>IF(MAX($A$2:A36)=$B$1,"",MAX($A$2:A36)+1)</f>
        <v>34</v>
      </c>
      <c r="B37" s="2" t="e">
        <f>IF(COUNT($A37)=0,"",VLOOKUP($A37,'物料分类表 R22'!$B$2:$H$1090,C37*2,FALSE))</f>
        <v>#REF!</v>
      </c>
      <c r="C37" s="2" t="e">
        <f>SUMIFS('物料分类表 R22'!#REF!,'物料分类表 R22'!$B$2:$B$1090,A37)</f>
        <v>#REF!</v>
      </c>
      <c r="D37" s="2" t="e">
        <f>IF(COUNT($A37)=0,"",IF(VLOOKUP($A37,'物料分类表 R22'!$B$2:$H$1090,D$3*2,FALSE)=0,D36,VLOOKUP($A37,'物料分类表 R22'!$B$2:$H$1090,D$3*2,FALSE)))</f>
        <v>#REF!</v>
      </c>
      <c r="E37" s="1" t="e">
        <f t="shared" si="0"/>
        <v>#REF!</v>
      </c>
      <c r="F37" s="1" t="e">
        <f t="shared" si="1"/>
        <v>#REF!</v>
      </c>
      <c r="G37" s="1" t="e">
        <f t="shared" si="2"/>
        <v>#REF!</v>
      </c>
      <c r="P37" s="1" t="s">
        <v>2098</v>
      </c>
      <c r="Q37" s="2" t="s">
        <v>187</v>
      </c>
    </row>
    <row r="38" customHeight="1" spans="1:17">
      <c r="A38" s="1">
        <f>IF(MAX($A$2:A37)=$B$1,"",MAX($A$2:A37)+1)</f>
        <v>35</v>
      </c>
      <c r="B38" s="2" t="e">
        <f>IF(COUNT($A38)=0,"",VLOOKUP($A38,'物料分类表 R22'!$B$2:$H$1090,C38*2,FALSE))</f>
        <v>#REF!</v>
      </c>
      <c r="C38" s="2" t="e">
        <f>SUMIFS('物料分类表 R22'!#REF!,'物料分类表 R22'!$B$2:$B$1090,A38)</f>
        <v>#REF!</v>
      </c>
      <c r="D38" s="2" t="e">
        <f>IF(COUNT($A38)=0,"",IF(VLOOKUP($A38,'物料分类表 R22'!$B$2:$H$1090,D$3*2,FALSE)=0,D37,VLOOKUP($A38,'物料分类表 R22'!$B$2:$H$1090,D$3*2,FALSE)))</f>
        <v>#REF!</v>
      </c>
      <c r="E38" s="1" t="e">
        <f t="shared" si="0"/>
        <v>#REF!</v>
      </c>
      <c r="F38" s="1" t="e">
        <f t="shared" si="1"/>
        <v>#REF!</v>
      </c>
      <c r="G38" s="1" t="e">
        <f t="shared" si="2"/>
        <v>#REF!</v>
      </c>
      <c r="P38" s="1" t="s">
        <v>2098</v>
      </c>
      <c r="Q38" s="2" t="s">
        <v>189</v>
      </c>
    </row>
    <row r="39" customHeight="1" spans="1:17">
      <c r="A39" s="1">
        <f>IF(MAX($A$2:A38)=$B$1,"",MAX($A$2:A38)+1)</f>
        <v>36</v>
      </c>
      <c r="B39" s="2" t="e">
        <f>IF(COUNT($A39)=0,"",VLOOKUP($A39,'物料分类表 R22'!$B$2:$H$1090,C39*2,FALSE))</f>
        <v>#REF!</v>
      </c>
      <c r="C39" s="2" t="e">
        <f>SUMIFS('物料分类表 R22'!#REF!,'物料分类表 R22'!$B$2:$B$1090,A39)</f>
        <v>#REF!</v>
      </c>
      <c r="D39" s="2" t="e">
        <f>IF(COUNT($A39)=0,"",IF(VLOOKUP($A39,'物料分类表 R22'!$B$2:$H$1090,D$3*2,FALSE)=0,D38,VLOOKUP($A39,'物料分类表 R22'!$B$2:$H$1090,D$3*2,FALSE)))</f>
        <v>#REF!</v>
      </c>
      <c r="E39" s="1" t="e">
        <f t="shared" si="0"/>
        <v>#REF!</v>
      </c>
      <c r="F39" s="1" t="e">
        <f t="shared" si="1"/>
        <v>#REF!</v>
      </c>
      <c r="G39" s="1" t="e">
        <f t="shared" si="2"/>
        <v>#REF!</v>
      </c>
      <c r="P39" s="1" t="s">
        <v>2098</v>
      </c>
      <c r="Q39" s="2" t="s">
        <v>191</v>
      </c>
    </row>
    <row r="40" customHeight="1" spans="1:17">
      <c r="A40" s="1">
        <f>IF(MAX($A$2:A39)=$B$1,"",MAX($A$2:A39)+1)</f>
        <v>37</v>
      </c>
      <c r="B40" s="2" t="e">
        <f>IF(COUNT($A40)=0,"",VLOOKUP($A40,'物料分类表 R22'!$B$2:$H$1090,C40*2,FALSE))</f>
        <v>#REF!</v>
      </c>
      <c r="C40" s="2" t="e">
        <f>SUMIFS('物料分类表 R22'!#REF!,'物料分类表 R22'!$B$2:$B$1090,A40)</f>
        <v>#REF!</v>
      </c>
      <c r="D40" s="2" t="e">
        <f>IF(COUNT($A40)=0,"",IF(VLOOKUP($A40,'物料分类表 R22'!$B$2:$H$1090,D$3*2,FALSE)=0,D39,VLOOKUP($A40,'物料分类表 R22'!$B$2:$H$1090,D$3*2,FALSE)))</f>
        <v>#REF!</v>
      </c>
      <c r="E40" s="1" t="e">
        <f t="shared" si="0"/>
        <v>#REF!</v>
      </c>
      <c r="F40" s="1" t="e">
        <f t="shared" si="1"/>
        <v>#REF!</v>
      </c>
      <c r="G40" s="1" t="e">
        <f t="shared" si="2"/>
        <v>#REF!</v>
      </c>
      <c r="P40" s="1" t="s">
        <v>2098</v>
      </c>
      <c r="Q40" s="2" t="s">
        <v>2100</v>
      </c>
    </row>
    <row r="41" customHeight="1" spans="1:17">
      <c r="A41" s="1">
        <f>IF(MAX($A$2:A40)=$B$1,"",MAX($A$2:A40)+1)</f>
        <v>38</v>
      </c>
      <c r="B41" s="2" t="e">
        <f>IF(COUNT($A41)=0,"",VLOOKUP($A41,'物料分类表 R22'!$B$2:$H$1090,C41*2,FALSE))</f>
        <v>#REF!</v>
      </c>
      <c r="C41" s="2" t="e">
        <f>SUMIFS('物料分类表 R22'!#REF!,'物料分类表 R22'!$B$2:$B$1090,A41)</f>
        <v>#REF!</v>
      </c>
      <c r="D41" s="2" t="e">
        <f>IF(COUNT($A41)=0,"",IF(VLOOKUP($A41,'物料分类表 R22'!$B$2:$H$1090,D$3*2,FALSE)=0,D40,VLOOKUP($A41,'物料分类表 R22'!$B$2:$H$1090,D$3*2,FALSE)))</f>
        <v>#REF!</v>
      </c>
      <c r="E41" s="1" t="e">
        <f t="shared" si="0"/>
        <v>#REF!</v>
      </c>
      <c r="F41" s="1" t="e">
        <f t="shared" si="1"/>
        <v>#REF!</v>
      </c>
      <c r="G41" s="1" t="e">
        <f t="shared" si="2"/>
        <v>#REF!</v>
      </c>
      <c r="P41" s="1" t="s">
        <v>2098</v>
      </c>
      <c r="Q41" s="2" t="s">
        <v>193</v>
      </c>
    </row>
    <row r="42" customHeight="1" spans="1:17">
      <c r="A42" s="1">
        <f>IF(MAX($A$2:A41)=$B$1,"",MAX($A$2:A41)+1)</f>
        <v>39</v>
      </c>
      <c r="D42" s="2"/>
      <c r="E42" s="1"/>
      <c r="F42" s="1"/>
      <c r="G42" s="1" t="str">
        <f t="shared" ref="G42" si="3">IF(COUNT($A42)=0,"",IF(C42=4,IF(COUNT($A42)=0,"",VLOOKUP(MID($D42,1,3),$P:$Q,2,FALSE)),""))</f>
        <v/>
      </c>
      <c r="P42" s="1" t="s">
        <v>2098</v>
      </c>
      <c r="Q42" s="2" t="s">
        <v>195</v>
      </c>
    </row>
    <row r="43" customHeight="1" spans="1:17">
      <c r="A43" s="1">
        <f>IF(MAX($A$2:A42)=$B$1,"",MAX($A$2:A42)+1)</f>
        <v>40</v>
      </c>
      <c r="B43" s="2" t="e">
        <f>IF(COUNT($A43)=0,"",VLOOKUP($A43,'物料分类表 R22'!$B$2:$H$1090,C43*2,FALSE))</f>
        <v>#REF!</v>
      </c>
      <c r="C43" s="2" t="e">
        <f>SUMIFS('物料分类表 R22'!#REF!,'物料分类表 R22'!$B$2:$B$1090,A43)</f>
        <v>#REF!</v>
      </c>
      <c r="D43" s="2" t="e">
        <f>IF(COUNT($A43)=0,"",IF(VLOOKUP($A43,'物料分类表 R22'!$B$2:$H$1090,D$3*2,FALSE)=0,D42,VLOOKUP($A43,'物料分类表 R22'!$B$2:$H$1090,D$3*2,FALSE)))</f>
        <v>#REF!</v>
      </c>
      <c r="E43" s="1" t="e">
        <f t="shared" ref="E43:E106" si="4">IF(COUNT($A43)=0,"",VLOOKUP(MID($D43,1,1),$P:$Q,2,FALSE))</f>
        <v>#REF!</v>
      </c>
      <c r="F43" s="1" t="e">
        <f t="shared" ref="F43:F106" si="5">IF(COUNT($A43)=0,"",VLOOKUP(MID($D43,1,2),$P:$Q,2,FALSE))</f>
        <v>#REF!</v>
      </c>
      <c r="G43" s="1" t="e">
        <f t="shared" ref="G43:G106" si="6">IF(COUNT($A43)=0,"",IF(C43=4,IF(COUNT($A43)=0,"",VLOOKUP(MID($D43,1,3),$P:$Q,2,FALSE)),""))</f>
        <v>#REF!</v>
      </c>
      <c r="P43" s="1" t="s">
        <v>2098</v>
      </c>
      <c r="Q43" s="2" t="s">
        <v>197</v>
      </c>
    </row>
    <row r="44" customHeight="1" spans="1:17">
      <c r="A44" s="1">
        <f>IF(MAX($A$2:A43)=$B$1,"",MAX($A$2:A43)+1)</f>
        <v>41</v>
      </c>
      <c r="B44" s="2" t="e">
        <f>IF(COUNT($A44)=0,"",VLOOKUP($A44,'物料分类表 R22'!$B$2:$H$1090,C44*2,FALSE))</f>
        <v>#REF!</v>
      </c>
      <c r="C44" s="2" t="e">
        <f>SUMIFS('物料分类表 R22'!#REF!,'物料分类表 R22'!$B$2:$B$1090,A44)</f>
        <v>#REF!</v>
      </c>
      <c r="D44" s="2" t="e">
        <f>IF(COUNT($A44)=0,"",IF(VLOOKUP($A44,'物料分类表 R22'!$B$2:$H$1090,D$3*2,FALSE)=0,D43,VLOOKUP($A44,'物料分类表 R22'!$B$2:$H$1090,D$3*2,FALSE)))</f>
        <v>#REF!</v>
      </c>
      <c r="E44" s="1" t="e">
        <f t="shared" si="4"/>
        <v>#REF!</v>
      </c>
      <c r="F44" s="1" t="e">
        <f t="shared" si="5"/>
        <v>#REF!</v>
      </c>
      <c r="G44" s="1" t="e">
        <f t="shared" si="6"/>
        <v>#REF!</v>
      </c>
      <c r="P44" s="1" t="s">
        <v>2098</v>
      </c>
      <c r="Q44" s="2" t="s">
        <v>199</v>
      </c>
    </row>
    <row r="45" customHeight="1" spans="1:17">
      <c r="A45" s="1">
        <f>IF(MAX($A$2:A44)=$B$1,"",MAX($A$2:A44)+1)</f>
        <v>42</v>
      </c>
      <c r="B45" s="2" t="e">
        <f>IF(COUNT($A45)=0,"",VLOOKUP($A45,'物料分类表 R22'!$B$2:$H$1090,C45*2,FALSE))</f>
        <v>#REF!</v>
      </c>
      <c r="C45" s="2" t="e">
        <f>SUMIFS('物料分类表 R22'!#REF!,'物料分类表 R22'!$B$2:$B$1090,A45)</f>
        <v>#REF!</v>
      </c>
      <c r="D45" s="2" t="e">
        <f>IF(COUNT($A45)=0,"",IF(VLOOKUP($A45,'物料分类表 R22'!$B$2:$H$1090,D$3*2,FALSE)=0,D44,VLOOKUP($A45,'物料分类表 R22'!$B$2:$H$1090,D$3*2,FALSE)))</f>
        <v>#REF!</v>
      </c>
      <c r="E45" s="1" t="e">
        <f t="shared" si="4"/>
        <v>#REF!</v>
      </c>
      <c r="F45" s="1" t="e">
        <f t="shared" si="5"/>
        <v>#REF!</v>
      </c>
      <c r="G45" s="1" t="e">
        <f t="shared" si="6"/>
        <v>#REF!</v>
      </c>
      <c r="P45" s="1" t="s">
        <v>2098</v>
      </c>
      <c r="Q45" s="2" t="s">
        <v>201</v>
      </c>
    </row>
    <row r="46" customHeight="1" spans="1:17">
      <c r="A46" s="1">
        <f>IF(MAX($A$2:A45)=$B$1,"",MAX($A$2:A45)+1)</f>
        <v>43</v>
      </c>
      <c r="B46" s="2" t="e">
        <f>IF(COUNT($A46)=0,"",VLOOKUP($A46,'物料分类表 R22'!$B$2:$H$1090,C46*2,FALSE))</f>
        <v>#REF!</v>
      </c>
      <c r="C46" s="2" t="e">
        <f>SUMIFS('物料分类表 R22'!#REF!,'物料分类表 R22'!$B$2:$B$1090,A46)</f>
        <v>#REF!</v>
      </c>
      <c r="D46" s="2" t="e">
        <f>IF(COUNT($A46)=0,"",IF(VLOOKUP($A46,'物料分类表 R22'!$B$2:$H$1090,D$3*2,FALSE)=0,D45,VLOOKUP($A46,'物料分类表 R22'!$B$2:$H$1090,D$3*2,FALSE)))</f>
        <v>#REF!</v>
      </c>
      <c r="E46" s="1" t="e">
        <f t="shared" si="4"/>
        <v>#REF!</v>
      </c>
      <c r="F46" s="1" t="e">
        <f t="shared" si="5"/>
        <v>#REF!</v>
      </c>
      <c r="G46" s="1" t="e">
        <f t="shared" si="6"/>
        <v>#REF!</v>
      </c>
      <c r="P46" s="1" t="s">
        <v>2098</v>
      </c>
      <c r="Q46" s="2" t="s">
        <v>203</v>
      </c>
    </row>
    <row r="47" customHeight="1" spans="1:17">
      <c r="A47" s="1">
        <f>IF(MAX($A$2:A46)=$B$1,"",MAX($A$2:A46)+1)</f>
        <v>44</v>
      </c>
      <c r="B47" s="2" t="e">
        <f>IF(COUNT($A47)=0,"",VLOOKUP($A47,'物料分类表 R22'!$B$2:$H$1090,C47*2,FALSE))</f>
        <v>#REF!</v>
      </c>
      <c r="C47" s="2" t="e">
        <f>SUMIFS('物料分类表 R22'!#REF!,'物料分类表 R22'!$B$2:$B$1090,A47)</f>
        <v>#REF!</v>
      </c>
      <c r="D47" s="2" t="e">
        <f>IF(COUNT($A47)=0,"",IF(VLOOKUP($A47,'物料分类表 R22'!$B$2:$H$1090,D$3*2,FALSE)=0,D46,VLOOKUP($A47,'物料分类表 R22'!$B$2:$H$1090,D$3*2,FALSE)))</f>
        <v>#REF!</v>
      </c>
      <c r="E47" s="1" t="e">
        <f t="shared" si="4"/>
        <v>#REF!</v>
      </c>
      <c r="F47" s="1" t="e">
        <f t="shared" si="5"/>
        <v>#REF!</v>
      </c>
      <c r="G47" s="1" t="e">
        <f t="shared" si="6"/>
        <v>#REF!</v>
      </c>
      <c r="P47" s="1" t="s">
        <v>2098</v>
      </c>
      <c r="Q47" s="2" t="s">
        <v>205</v>
      </c>
    </row>
    <row r="48" customHeight="1" spans="1:17">
      <c r="A48" s="1">
        <f>IF(MAX($A$2:A47)=$B$1,"",MAX($A$2:A47)+1)</f>
        <v>45</v>
      </c>
      <c r="B48" s="2" t="e">
        <f>IF(COUNT($A48)=0,"",VLOOKUP($A48,'物料分类表 R22'!$B$2:$H$1090,C48*2,FALSE))</f>
        <v>#REF!</v>
      </c>
      <c r="C48" s="2" t="e">
        <f>SUMIFS('物料分类表 R22'!#REF!,'物料分类表 R22'!$B$2:$B$1090,A48)</f>
        <v>#REF!</v>
      </c>
      <c r="D48" s="2" t="e">
        <f>IF(COUNT($A48)=0,"",IF(VLOOKUP($A48,'物料分类表 R22'!$B$2:$H$1090,D$3*2,FALSE)=0,D47,VLOOKUP($A48,'物料分类表 R22'!$B$2:$H$1090,D$3*2,FALSE)))</f>
        <v>#REF!</v>
      </c>
      <c r="E48" s="1" t="e">
        <f t="shared" si="4"/>
        <v>#REF!</v>
      </c>
      <c r="F48" s="1" t="e">
        <f t="shared" si="5"/>
        <v>#REF!</v>
      </c>
      <c r="G48" s="1" t="e">
        <f t="shared" si="6"/>
        <v>#REF!</v>
      </c>
      <c r="P48" s="1" t="s">
        <v>2098</v>
      </c>
      <c r="Q48" s="2" t="s">
        <v>2101</v>
      </c>
    </row>
    <row r="49" customHeight="1" spans="1:17">
      <c r="A49" s="1">
        <f>IF(MAX($A$2:A48)=$B$1,"",MAX($A$2:A48)+1)</f>
        <v>46</v>
      </c>
      <c r="B49" s="2" t="e">
        <f>IF(COUNT($A49)=0,"",VLOOKUP($A49,'物料分类表 R22'!$B$2:$H$1090,C49*2,FALSE))</f>
        <v>#REF!</v>
      </c>
      <c r="C49" s="2" t="e">
        <f>SUMIFS('物料分类表 R22'!#REF!,'物料分类表 R22'!$B$2:$B$1090,A49)</f>
        <v>#REF!</v>
      </c>
      <c r="D49" s="2" t="e">
        <f>IF(COUNT($A49)=0,"",IF(VLOOKUP($A49,'物料分类表 R22'!$B$2:$H$1090,D$3*2,FALSE)=0,D48,VLOOKUP($A49,'物料分类表 R22'!$B$2:$H$1090,D$3*2,FALSE)))</f>
        <v>#REF!</v>
      </c>
      <c r="E49" s="1" t="e">
        <f t="shared" si="4"/>
        <v>#REF!</v>
      </c>
      <c r="F49" s="1" t="e">
        <f t="shared" si="5"/>
        <v>#REF!</v>
      </c>
      <c r="G49" s="1" t="e">
        <f t="shared" si="6"/>
        <v>#REF!</v>
      </c>
      <c r="P49" s="1" t="s">
        <v>2098</v>
      </c>
      <c r="Q49" s="2" t="s">
        <v>209</v>
      </c>
    </row>
    <row r="50" customHeight="1" spans="1:17">
      <c r="A50" s="1">
        <f>IF(MAX($A$2:A49)=$B$1,"",MAX($A$2:A49)+1)</f>
        <v>47</v>
      </c>
      <c r="B50" s="2" t="e">
        <f>IF(COUNT($A50)=0,"",VLOOKUP($A50,'物料分类表 R22'!$B$2:$H$1090,C50*2,FALSE))</f>
        <v>#REF!</v>
      </c>
      <c r="C50" s="2" t="e">
        <f>SUMIFS('物料分类表 R22'!#REF!,'物料分类表 R22'!$B$2:$B$1090,A50)</f>
        <v>#REF!</v>
      </c>
      <c r="D50" s="2" t="e">
        <f>IF(COUNT($A50)=0,"",IF(VLOOKUP($A50,'物料分类表 R22'!$B$2:$H$1090,D$3*2,FALSE)=0,D49,VLOOKUP($A50,'物料分类表 R22'!$B$2:$H$1090,D$3*2,FALSE)))</f>
        <v>#REF!</v>
      </c>
      <c r="E50" s="1" t="e">
        <f t="shared" si="4"/>
        <v>#REF!</v>
      </c>
      <c r="F50" s="1" t="e">
        <f t="shared" si="5"/>
        <v>#REF!</v>
      </c>
      <c r="G50" s="1" t="e">
        <f t="shared" si="6"/>
        <v>#REF!</v>
      </c>
      <c r="P50" s="1" t="s">
        <v>2098</v>
      </c>
      <c r="Q50" s="2" t="s">
        <v>2102</v>
      </c>
    </row>
    <row r="51" customHeight="1" spans="1:17">
      <c r="A51" s="1">
        <f>IF(MAX($A$2:A50)=$B$1,"",MAX($A$2:A50)+1)</f>
        <v>48</v>
      </c>
      <c r="B51" s="2" t="e">
        <f>IF(COUNT($A51)=0,"",VLOOKUP($A51,'物料分类表 R22'!$B$2:$H$1090,C51*2,FALSE))</f>
        <v>#REF!</v>
      </c>
      <c r="C51" s="2" t="e">
        <f>SUMIFS('物料分类表 R22'!#REF!,'物料分类表 R22'!$B$2:$B$1090,A51)</f>
        <v>#REF!</v>
      </c>
      <c r="D51" s="2" t="e">
        <f>IF(COUNT($A51)=0,"",IF(VLOOKUP($A51,'物料分类表 R22'!$B$2:$H$1090,D$3*2,FALSE)=0,D50,VLOOKUP($A51,'物料分类表 R22'!$B$2:$H$1090,D$3*2,FALSE)))</f>
        <v>#REF!</v>
      </c>
      <c r="E51" s="1" t="e">
        <f t="shared" si="4"/>
        <v>#REF!</v>
      </c>
      <c r="F51" s="1" t="e">
        <f t="shared" si="5"/>
        <v>#REF!</v>
      </c>
      <c r="G51" s="1" t="e">
        <f t="shared" si="6"/>
        <v>#REF!</v>
      </c>
      <c r="P51" s="1" t="s">
        <v>2098</v>
      </c>
      <c r="Q51" s="2" t="s">
        <v>213</v>
      </c>
    </row>
    <row r="52" customHeight="1" spans="1:17">
      <c r="A52" s="1">
        <f>IF(MAX($A$2:A51)=$B$1,"",MAX($A$2:A51)+1)</f>
        <v>49</v>
      </c>
      <c r="B52" s="2" t="e">
        <f>IF(COUNT($A52)=0,"",VLOOKUP($A52,'物料分类表 R22'!$B$2:$H$1090,C52*2,FALSE))</f>
        <v>#REF!</v>
      </c>
      <c r="C52" s="2" t="e">
        <f>SUMIFS('物料分类表 R22'!#REF!,'物料分类表 R22'!$B$2:$B$1090,A52)</f>
        <v>#REF!</v>
      </c>
      <c r="D52" s="2" t="e">
        <f>IF(COUNT($A52)=0,"",IF(VLOOKUP($A52,'物料分类表 R22'!$B$2:$H$1090,D$3*2,FALSE)=0,D51,VLOOKUP($A52,'物料分类表 R22'!$B$2:$H$1090,D$3*2,FALSE)))</f>
        <v>#REF!</v>
      </c>
      <c r="E52" s="1" t="e">
        <f t="shared" si="4"/>
        <v>#REF!</v>
      </c>
      <c r="F52" s="1" t="e">
        <f t="shared" si="5"/>
        <v>#REF!</v>
      </c>
      <c r="G52" s="1" t="e">
        <f t="shared" si="6"/>
        <v>#REF!</v>
      </c>
      <c r="P52" s="1" t="s">
        <v>2098</v>
      </c>
      <c r="Q52" s="2" t="s">
        <v>215</v>
      </c>
    </row>
    <row r="53" customHeight="1" spans="1:17">
      <c r="A53" s="1">
        <f>IF(MAX($A$2:A52)=$B$1,"",MAX($A$2:A52)+1)</f>
        <v>50</v>
      </c>
      <c r="B53" s="2" t="e">
        <f>IF(COUNT($A53)=0,"",VLOOKUP($A53,'物料分类表 R22'!$B$2:$H$1090,C53*2,FALSE))</f>
        <v>#REF!</v>
      </c>
      <c r="C53" s="2" t="e">
        <f>SUMIFS('物料分类表 R22'!#REF!,'物料分类表 R22'!$B$2:$B$1090,A53)</f>
        <v>#REF!</v>
      </c>
      <c r="D53" s="2" t="e">
        <f>IF(COUNT($A53)=0,"",IF(VLOOKUP($A53,'物料分类表 R22'!$B$2:$H$1090,D$3*2,FALSE)=0,D52,VLOOKUP($A53,'物料分类表 R22'!$B$2:$H$1090,D$3*2,FALSE)))</f>
        <v>#REF!</v>
      </c>
      <c r="E53" s="1" t="e">
        <f t="shared" si="4"/>
        <v>#REF!</v>
      </c>
      <c r="F53" s="1" t="e">
        <f t="shared" si="5"/>
        <v>#REF!</v>
      </c>
      <c r="G53" s="1" t="e">
        <f t="shared" si="6"/>
        <v>#REF!</v>
      </c>
      <c r="P53" s="1" t="s">
        <v>2098</v>
      </c>
      <c r="Q53" s="2" t="s">
        <v>335</v>
      </c>
    </row>
    <row r="54" customHeight="1" spans="1:17">
      <c r="A54" s="1">
        <f>IF(MAX($A$2:A53)=$B$1,"",MAX($A$2:A53)+1)</f>
        <v>51</v>
      </c>
      <c r="B54" s="2" t="e">
        <f>IF(COUNT($A54)=0,"",VLOOKUP($A54,'物料分类表 R22'!$B$2:$H$1090,C54*2,FALSE))</f>
        <v>#REF!</v>
      </c>
      <c r="C54" s="2" t="e">
        <f>SUMIFS('物料分类表 R22'!#REF!,'物料分类表 R22'!$B$2:$B$1090,A54)</f>
        <v>#REF!</v>
      </c>
      <c r="D54" s="2" t="e">
        <f>IF(COUNT($A54)=0,"",IF(VLOOKUP($A54,'物料分类表 R22'!$B$2:$H$1090,D$3*2,FALSE)=0,D53,VLOOKUP($A54,'物料分类表 R22'!$B$2:$H$1090,D$3*2,FALSE)))</f>
        <v>#REF!</v>
      </c>
      <c r="E54" s="1" t="e">
        <f t="shared" si="4"/>
        <v>#REF!</v>
      </c>
      <c r="F54" s="1" t="e">
        <f t="shared" si="5"/>
        <v>#REF!</v>
      </c>
      <c r="G54" s="1" t="e">
        <f t="shared" si="6"/>
        <v>#REF!</v>
      </c>
      <c r="P54" s="1" t="s">
        <v>2098</v>
      </c>
      <c r="Q54" s="2" t="s">
        <v>217</v>
      </c>
    </row>
    <row r="55" customHeight="1" spans="1:17">
      <c r="A55" s="1">
        <f>IF(MAX($A$2:A54)=$B$1,"",MAX($A$2:A54)+1)</f>
        <v>52</v>
      </c>
      <c r="B55" s="2" t="e">
        <f>IF(COUNT($A55)=0,"",VLOOKUP($A55,'物料分类表 R22'!$B$2:$H$1090,C55*2,FALSE))</f>
        <v>#REF!</v>
      </c>
      <c r="C55" s="2" t="e">
        <f>SUMIFS('物料分类表 R22'!#REF!,'物料分类表 R22'!$B$2:$B$1090,A55)</f>
        <v>#REF!</v>
      </c>
      <c r="D55" s="2" t="e">
        <f>IF(COUNT($A55)=0,"",IF(VLOOKUP($A55,'物料分类表 R22'!$B$2:$H$1090,D$3*2,FALSE)=0,D54,VLOOKUP($A55,'物料分类表 R22'!$B$2:$H$1090,D$3*2,FALSE)))</f>
        <v>#REF!</v>
      </c>
      <c r="E55" s="1" t="e">
        <f t="shared" si="4"/>
        <v>#REF!</v>
      </c>
      <c r="F55" s="1" t="e">
        <f t="shared" si="5"/>
        <v>#REF!</v>
      </c>
      <c r="G55" s="1" t="e">
        <f t="shared" si="6"/>
        <v>#REF!</v>
      </c>
      <c r="P55" s="1" t="s">
        <v>2098</v>
      </c>
      <c r="Q55" s="2" t="s">
        <v>219</v>
      </c>
    </row>
    <row r="56" customHeight="1" spans="1:17">
      <c r="A56" s="1">
        <f>IF(MAX($A$2:A55)=$B$1,"",MAX($A$2:A55)+1)</f>
        <v>53</v>
      </c>
      <c r="B56" s="2" t="e">
        <f>IF(COUNT($A56)=0,"",VLOOKUP($A56,'物料分类表 R22'!$B$2:$H$1090,C56*2,FALSE))</f>
        <v>#REF!</v>
      </c>
      <c r="C56" s="2" t="e">
        <f>SUMIFS('物料分类表 R22'!#REF!,'物料分类表 R22'!$B$2:$B$1090,A56)</f>
        <v>#REF!</v>
      </c>
      <c r="D56" s="2" t="e">
        <f>IF(COUNT($A56)=0,"",IF(VLOOKUP($A56,'物料分类表 R22'!$B$2:$H$1090,D$3*2,FALSE)=0,D55,VLOOKUP($A56,'物料分类表 R22'!$B$2:$H$1090,D$3*2,FALSE)))</f>
        <v>#REF!</v>
      </c>
      <c r="E56" s="1" t="e">
        <f t="shared" si="4"/>
        <v>#REF!</v>
      </c>
      <c r="F56" s="1" t="e">
        <f t="shared" si="5"/>
        <v>#REF!</v>
      </c>
      <c r="G56" s="1" t="e">
        <f t="shared" si="6"/>
        <v>#REF!</v>
      </c>
      <c r="P56" s="1" t="s">
        <v>2098</v>
      </c>
      <c r="Q56" s="2" t="s">
        <v>2103</v>
      </c>
    </row>
    <row r="57" customHeight="1" spans="1:17">
      <c r="A57" s="1">
        <f>IF(MAX($A$2:A56)=$B$1,"",MAX($A$2:A56)+1)</f>
        <v>54</v>
      </c>
      <c r="B57" s="2" t="e">
        <f>IF(COUNT($A57)=0,"",VLOOKUP($A57,'物料分类表 R22'!$B$2:$H$1090,C57*2,FALSE))</f>
        <v>#REF!</v>
      </c>
      <c r="C57" s="2" t="e">
        <f>SUMIFS('物料分类表 R22'!#REF!,'物料分类表 R22'!$B$2:$B$1090,A57)</f>
        <v>#REF!</v>
      </c>
      <c r="D57" s="2" t="e">
        <f>IF(COUNT($A57)=0,"",IF(VLOOKUP($A57,'物料分类表 R22'!$B$2:$H$1090,D$3*2,FALSE)=0,D56,VLOOKUP($A57,'物料分类表 R22'!$B$2:$H$1090,D$3*2,FALSE)))</f>
        <v>#REF!</v>
      </c>
      <c r="E57" s="1" t="e">
        <f t="shared" si="4"/>
        <v>#REF!</v>
      </c>
      <c r="F57" s="1" t="e">
        <f t="shared" si="5"/>
        <v>#REF!</v>
      </c>
      <c r="G57" s="1" t="e">
        <f t="shared" si="6"/>
        <v>#REF!</v>
      </c>
      <c r="P57" s="1" t="s">
        <v>2098</v>
      </c>
      <c r="Q57" s="2" t="s">
        <v>223</v>
      </c>
    </row>
    <row r="58" customHeight="1" spans="1:17">
      <c r="A58" s="1">
        <f>IF(MAX($A$2:A57)=$B$1,"",MAX($A$2:A57)+1)</f>
        <v>55</v>
      </c>
      <c r="B58" s="2" t="e">
        <f>IF(COUNT($A58)=0,"",VLOOKUP($A58,'物料分类表 R22'!$B$2:$H$1090,C58*2,FALSE))</f>
        <v>#REF!</v>
      </c>
      <c r="C58" s="2" t="e">
        <f>SUMIFS('物料分类表 R22'!#REF!,'物料分类表 R22'!$B$2:$B$1090,A58)</f>
        <v>#REF!</v>
      </c>
      <c r="D58" s="2" t="e">
        <f>IF(COUNT($A58)=0,"",IF(VLOOKUP($A58,'物料分类表 R22'!$B$2:$H$1090,D$3*2,FALSE)=0,D57,VLOOKUP($A58,'物料分类表 R22'!$B$2:$H$1090,D$3*2,FALSE)))</f>
        <v>#REF!</v>
      </c>
      <c r="E58" s="1" t="e">
        <f t="shared" si="4"/>
        <v>#REF!</v>
      </c>
      <c r="F58" s="1" t="e">
        <f t="shared" si="5"/>
        <v>#REF!</v>
      </c>
      <c r="G58" s="1" t="e">
        <f t="shared" si="6"/>
        <v>#REF!</v>
      </c>
      <c r="P58" s="1" t="s">
        <v>2098</v>
      </c>
      <c r="Q58" s="2" t="s">
        <v>225</v>
      </c>
    </row>
    <row r="59" customHeight="1" spans="1:17">
      <c r="A59" s="1">
        <f>IF(MAX($A$2:A58)=$B$1,"",MAX($A$2:A58)+1)</f>
        <v>56</v>
      </c>
      <c r="B59" s="2" t="e">
        <f>IF(COUNT($A59)=0,"",VLOOKUP($A59,'物料分类表 R22'!$B$2:$H$1090,C59*2,FALSE))</f>
        <v>#REF!</v>
      </c>
      <c r="C59" s="2" t="e">
        <f>SUMIFS('物料分类表 R22'!#REF!,'物料分类表 R22'!$B$2:$B$1090,A59)</f>
        <v>#REF!</v>
      </c>
      <c r="D59" s="2" t="e">
        <f>IF(COUNT($A59)=0,"",IF(VLOOKUP($A59,'物料分类表 R22'!$B$2:$H$1090,D$3*2,FALSE)=0,D58,VLOOKUP($A59,'物料分类表 R22'!$B$2:$H$1090,D$3*2,FALSE)))</f>
        <v>#REF!</v>
      </c>
      <c r="E59" s="1" t="e">
        <f t="shared" si="4"/>
        <v>#REF!</v>
      </c>
      <c r="F59" s="1" t="e">
        <f t="shared" si="5"/>
        <v>#REF!</v>
      </c>
      <c r="G59" s="1" t="e">
        <f t="shared" si="6"/>
        <v>#REF!</v>
      </c>
      <c r="P59" s="1" t="s">
        <v>2098</v>
      </c>
      <c r="Q59" s="2" t="s">
        <v>227</v>
      </c>
    </row>
    <row r="60" customHeight="1" spans="1:17">
      <c r="A60" s="1">
        <f>IF(MAX($A$2:A59)=$B$1,"",MAX($A$2:A59)+1)</f>
        <v>57</v>
      </c>
      <c r="B60" s="2" t="e">
        <f>IF(COUNT($A60)=0,"",VLOOKUP($A60,'物料分类表 R22'!$B$2:$H$1090,C60*2,FALSE))</f>
        <v>#REF!</v>
      </c>
      <c r="C60" s="2" t="e">
        <f>SUMIFS('物料分类表 R22'!#REF!,'物料分类表 R22'!$B$2:$B$1090,A60)</f>
        <v>#REF!</v>
      </c>
      <c r="D60" s="2" t="e">
        <f>IF(COUNT($A60)=0,"",IF(VLOOKUP($A60,'物料分类表 R22'!$B$2:$H$1090,D$3*2,FALSE)=0,D59,VLOOKUP($A60,'物料分类表 R22'!$B$2:$H$1090,D$3*2,FALSE)))</f>
        <v>#REF!</v>
      </c>
      <c r="E60" s="1" t="e">
        <f t="shared" si="4"/>
        <v>#REF!</v>
      </c>
      <c r="F60" s="1" t="e">
        <f t="shared" si="5"/>
        <v>#REF!</v>
      </c>
      <c r="G60" s="1" t="e">
        <f t="shared" si="6"/>
        <v>#REF!</v>
      </c>
      <c r="P60" s="1" t="s">
        <v>2104</v>
      </c>
      <c r="Q60" s="2" t="s">
        <v>229</v>
      </c>
    </row>
    <row r="61" customHeight="1" spans="1:17">
      <c r="A61" s="1">
        <f>IF(MAX($A$2:A60)=$B$1,"",MAX($A$2:A60)+1)</f>
        <v>58</v>
      </c>
      <c r="B61" s="2" t="e">
        <f>IF(COUNT($A61)=0,"",VLOOKUP($A61,'物料分类表 R22'!$B$2:$H$1090,C61*2,FALSE))</f>
        <v>#REF!</v>
      </c>
      <c r="C61" s="2" t="e">
        <f>SUMIFS('物料分类表 R22'!#REF!,'物料分类表 R22'!$B$2:$B$1090,A61)</f>
        <v>#REF!</v>
      </c>
      <c r="D61" s="2" t="e">
        <f>IF(COUNT($A61)=0,"",IF(VLOOKUP($A61,'物料分类表 R22'!$B$2:$H$1090,D$3*2,FALSE)=0,D60,VLOOKUP($A61,'物料分类表 R22'!$B$2:$H$1090,D$3*2,FALSE)))</f>
        <v>#REF!</v>
      </c>
      <c r="E61" s="1" t="e">
        <f t="shared" si="4"/>
        <v>#REF!</v>
      </c>
      <c r="F61" s="1" t="e">
        <f t="shared" si="5"/>
        <v>#REF!</v>
      </c>
      <c r="G61" s="1" t="e">
        <f t="shared" si="6"/>
        <v>#REF!</v>
      </c>
      <c r="P61" s="1" t="s">
        <v>2104</v>
      </c>
      <c r="Q61" s="2" t="s">
        <v>231</v>
      </c>
    </row>
    <row r="62" customHeight="1" spans="1:17">
      <c r="A62" s="1">
        <f>IF(MAX($A$2:A61)=$B$1,"",MAX($A$2:A61)+1)</f>
        <v>59</v>
      </c>
      <c r="B62" s="2" t="e">
        <f>IF(COUNT($A62)=0,"",VLOOKUP($A62,'物料分类表 R22'!$B$2:$H$1090,C62*2,FALSE))</f>
        <v>#REF!</v>
      </c>
      <c r="C62" s="2" t="e">
        <f>SUMIFS('物料分类表 R22'!#REF!,'物料分类表 R22'!$B$2:$B$1090,A62)</f>
        <v>#REF!</v>
      </c>
      <c r="D62" s="2" t="e">
        <f>IF(COUNT($A62)=0,"",IF(VLOOKUP($A62,'物料分类表 R22'!$B$2:$H$1090,D$3*2,FALSE)=0,D61,VLOOKUP($A62,'物料分类表 R22'!$B$2:$H$1090,D$3*2,FALSE)))</f>
        <v>#REF!</v>
      </c>
      <c r="E62" s="1" t="e">
        <f t="shared" si="4"/>
        <v>#REF!</v>
      </c>
      <c r="F62" s="1" t="e">
        <f t="shared" si="5"/>
        <v>#REF!</v>
      </c>
      <c r="G62" s="1" t="e">
        <f t="shared" si="6"/>
        <v>#REF!</v>
      </c>
      <c r="P62" s="1" t="s">
        <v>2104</v>
      </c>
      <c r="Q62" s="2" t="s">
        <v>235</v>
      </c>
    </row>
    <row r="63" customHeight="1" spans="1:17">
      <c r="A63" s="1">
        <f>IF(MAX($A$2:A62)=$B$1,"",MAX($A$2:A62)+1)</f>
        <v>60</v>
      </c>
      <c r="B63" s="2" t="e">
        <f>IF(COUNT($A63)=0,"",VLOOKUP($A63,'物料分类表 R22'!$B$2:$H$1090,C63*2,FALSE))</f>
        <v>#REF!</v>
      </c>
      <c r="C63" s="2" t="e">
        <f>SUMIFS('物料分类表 R22'!#REF!,'物料分类表 R22'!$B$2:$B$1090,A63)</f>
        <v>#REF!</v>
      </c>
      <c r="D63" s="2" t="e">
        <f>IF(COUNT($A63)=0,"",IF(VLOOKUP($A63,'物料分类表 R22'!$B$2:$H$1090,D$3*2,FALSE)=0,D62,VLOOKUP($A63,'物料分类表 R22'!$B$2:$H$1090,D$3*2,FALSE)))</f>
        <v>#REF!</v>
      </c>
      <c r="E63" s="1" t="e">
        <f t="shared" si="4"/>
        <v>#REF!</v>
      </c>
      <c r="F63" s="1" t="e">
        <f t="shared" si="5"/>
        <v>#REF!</v>
      </c>
      <c r="G63" s="1" t="e">
        <f t="shared" si="6"/>
        <v>#REF!</v>
      </c>
      <c r="P63" s="1" t="s">
        <v>2105</v>
      </c>
      <c r="Q63" s="2" t="s">
        <v>2106</v>
      </c>
    </row>
    <row r="64" customHeight="1" spans="1:17">
      <c r="A64" s="1">
        <f>IF(MAX($A$2:A63)=$B$1,"",MAX($A$2:A63)+1)</f>
        <v>61</v>
      </c>
      <c r="B64" s="2" t="e">
        <f>IF(COUNT($A64)=0,"",VLOOKUP($A64,'物料分类表 R22'!$B$2:$H$1090,C64*2,FALSE))</f>
        <v>#REF!</v>
      </c>
      <c r="C64" s="2" t="e">
        <f>SUMIFS('物料分类表 R22'!#REF!,'物料分类表 R22'!$B$2:$B$1090,A64)</f>
        <v>#REF!</v>
      </c>
      <c r="D64" s="2" t="e">
        <f>IF(COUNT($A64)=0,"",IF(VLOOKUP($A64,'物料分类表 R22'!$B$2:$H$1090,D$3*2,FALSE)=0,D63,VLOOKUP($A64,'物料分类表 R22'!$B$2:$H$1090,D$3*2,FALSE)))</f>
        <v>#REF!</v>
      </c>
      <c r="E64" s="1" t="e">
        <f t="shared" si="4"/>
        <v>#REF!</v>
      </c>
      <c r="F64" s="1" t="e">
        <f t="shared" si="5"/>
        <v>#REF!</v>
      </c>
      <c r="G64" s="1" t="e">
        <f t="shared" si="6"/>
        <v>#REF!</v>
      </c>
      <c r="P64" s="1" t="s">
        <v>2105</v>
      </c>
      <c r="Q64" s="2" t="s">
        <v>421</v>
      </c>
    </row>
    <row r="65" customHeight="1" spans="1:17">
      <c r="A65" s="1">
        <f>IF(MAX($A$2:A64)=$B$1,"",MAX($A$2:A64)+1)</f>
        <v>62</v>
      </c>
      <c r="B65" s="2" t="e">
        <f>IF(COUNT($A65)=0,"",VLOOKUP($A65,'物料分类表 R22'!$B$2:$H$1090,C65*2,FALSE))</f>
        <v>#REF!</v>
      </c>
      <c r="C65" s="2" t="e">
        <f>SUMIFS('物料分类表 R22'!#REF!,'物料分类表 R22'!$B$2:$B$1090,A65)</f>
        <v>#REF!</v>
      </c>
      <c r="D65" s="2" t="e">
        <f>IF(COUNT($A65)=0,"",IF(VLOOKUP($A65,'物料分类表 R22'!$B$2:$H$1090,D$3*2,FALSE)=0,D64,VLOOKUP($A65,'物料分类表 R22'!$B$2:$H$1090,D$3*2,FALSE)))</f>
        <v>#REF!</v>
      </c>
      <c r="E65" s="1" t="e">
        <f t="shared" si="4"/>
        <v>#REF!</v>
      </c>
      <c r="F65" s="1" t="e">
        <f t="shared" si="5"/>
        <v>#REF!</v>
      </c>
      <c r="G65" s="1" t="e">
        <f t="shared" si="6"/>
        <v>#REF!</v>
      </c>
      <c r="P65" s="1" t="s">
        <v>2105</v>
      </c>
      <c r="Q65" s="2" t="s">
        <v>239</v>
      </c>
    </row>
    <row r="66" customHeight="1" spans="1:17">
      <c r="A66" s="1">
        <f>IF(MAX($A$2:A65)=$B$1,"",MAX($A$2:A65)+1)</f>
        <v>63</v>
      </c>
      <c r="B66" s="2" t="e">
        <f>IF(COUNT($A66)=0,"",VLOOKUP($A66,'物料分类表 R22'!$B$2:$H$1090,C66*2,FALSE))</f>
        <v>#REF!</v>
      </c>
      <c r="C66" s="2" t="e">
        <f>SUMIFS('物料分类表 R22'!#REF!,'物料分类表 R22'!$B$2:$B$1090,A66)</f>
        <v>#REF!</v>
      </c>
      <c r="D66" s="2" t="e">
        <f>IF(COUNT($A66)=0,"",IF(VLOOKUP($A66,'物料分类表 R22'!$B$2:$H$1090,D$3*2,FALSE)=0,D65,VLOOKUP($A66,'物料分类表 R22'!$B$2:$H$1090,D$3*2,FALSE)))</f>
        <v>#REF!</v>
      </c>
      <c r="E66" s="1" t="e">
        <f t="shared" si="4"/>
        <v>#REF!</v>
      </c>
      <c r="F66" s="1" t="e">
        <f t="shared" si="5"/>
        <v>#REF!</v>
      </c>
      <c r="G66" s="1" t="e">
        <f t="shared" si="6"/>
        <v>#REF!</v>
      </c>
      <c r="P66" s="1" t="s">
        <v>2105</v>
      </c>
      <c r="Q66" s="2" t="s">
        <v>393</v>
      </c>
    </row>
    <row r="67" customHeight="1" spans="1:17">
      <c r="A67" s="1">
        <f>IF(MAX($A$2:A66)=$B$1,"",MAX($A$2:A66)+1)</f>
        <v>64</v>
      </c>
      <c r="B67" s="2" t="e">
        <f>IF(COUNT($A67)=0,"",VLOOKUP($A67,'物料分类表 R22'!$B$2:$H$1090,C67*2,FALSE))</f>
        <v>#REF!</v>
      </c>
      <c r="C67" s="2" t="e">
        <f>SUMIFS('物料分类表 R22'!#REF!,'物料分类表 R22'!$B$2:$B$1090,A67)</f>
        <v>#REF!</v>
      </c>
      <c r="D67" s="2" t="e">
        <f>IF(COUNT($A67)=0,"",IF(VLOOKUP($A67,'物料分类表 R22'!$B$2:$H$1090,D$3*2,FALSE)=0,D66,VLOOKUP($A67,'物料分类表 R22'!$B$2:$H$1090,D$3*2,FALSE)))</f>
        <v>#REF!</v>
      </c>
      <c r="E67" s="1" t="e">
        <f t="shared" si="4"/>
        <v>#REF!</v>
      </c>
      <c r="F67" s="1" t="e">
        <f t="shared" si="5"/>
        <v>#REF!</v>
      </c>
      <c r="G67" s="1" t="e">
        <f t="shared" si="6"/>
        <v>#REF!</v>
      </c>
      <c r="P67" s="1" t="s">
        <v>2105</v>
      </c>
      <c r="Q67" s="2" t="s">
        <v>2107</v>
      </c>
    </row>
    <row r="68" customHeight="1" spans="1:17">
      <c r="A68" s="1">
        <f>IF(MAX($A$2:A67)=$B$1,"",MAX($A$2:A67)+1)</f>
        <v>65</v>
      </c>
      <c r="B68" s="2" t="e">
        <f>IF(COUNT($A68)=0,"",VLOOKUP($A68,'物料分类表 R22'!$B$2:$H$1090,C68*2,FALSE))</f>
        <v>#REF!</v>
      </c>
      <c r="C68" s="2" t="e">
        <f>SUMIFS('物料分类表 R22'!#REF!,'物料分类表 R22'!$B$2:$B$1090,A68)</f>
        <v>#REF!</v>
      </c>
      <c r="D68" s="2" t="e">
        <f>IF(COUNT($A68)=0,"",IF(VLOOKUP($A68,'物料分类表 R22'!$B$2:$H$1090,D$3*2,FALSE)=0,D67,VLOOKUP($A68,'物料分类表 R22'!$B$2:$H$1090,D$3*2,FALSE)))</f>
        <v>#REF!</v>
      </c>
      <c r="E68" s="1" t="e">
        <f t="shared" si="4"/>
        <v>#REF!</v>
      </c>
      <c r="F68" s="1" t="e">
        <f t="shared" si="5"/>
        <v>#REF!</v>
      </c>
      <c r="G68" s="1" t="e">
        <f t="shared" si="6"/>
        <v>#REF!</v>
      </c>
      <c r="P68" s="1" t="s">
        <v>2105</v>
      </c>
      <c r="Q68" s="2" t="s">
        <v>243</v>
      </c>
    </row>
    <row r="69" customHeight="1" spans="1:17">
      <c r="A69" s="1">
        <f>IF(MAX($A$2:A68)=$B$1,"",MAX($A$2:A68)+1)</f>
        <v>66</v>
      </c>
      <c r="B69" s="2" t="e">
        <f>IF(COUNT($A69)=0,"",VLOOKUP($A69,'物料分类表 R22'!$B$2:$H$1090,C69*2,FALSE))</f>
        <v>#REF!</v>
      </c>
      <c r="C69" s="2" t="e">
        <f>SUMIFS('物料分类表 R22'!#REF!,'物料分类表 R22'!$B$2:$B$1090,A69)</f>
        <v>#REF!</v>
      </c>
      <c r="D69" s="2" t="e">
        <f>IF(COUNT($A69)=0,"",IF(VLOOKUP($A69,'物料分类表 R22'!$B$2:$H$1090,D$3*2,FALSE)=0,D68,VLOOKUP($A69,'物料分类表 R22'!$B$2:$H$1090,D$3*2,FALSE)))</f>
        <v>#REF!</v>
      </c>
      <c r="E69" s="1" t="e">
        <f t="shared" si="4"/>
        <v>#REF!</v>
      </c>
      <c r="F69" s="1" t="e">
        <f t="shared" si="5"/>
        <v>#REF!</v>
      </c>
      <c r="G69" s="1" t="e">
        <f t="shared" si="6"/>
        <v>#REF!</v>
      </c>
      <c r="P69" s="1" t="s">
        <v>2105</v>
      </c>
      <c r="Q69" s="2" t="s">
        <v>245</v>
      </c>
    </row>
    <row r="70" customHeight="1" spans="1:17">
      <c r="A70" s="1">
        <f>IF(MAX($A$2:A69)=$B$1,"",MAX($A$2:A69)+1)</f>
        <v>67</v>
      </c>
      <c r="B70" s="2" t="e">
        <f>IF(COUNT($A70)=0,"",VLOOKUP($A70,'物料分类表 R22'!$B$2:$H$1090,C70*2,FALSE))</f>
        <v>#REF!</v>
      </c>
      <c r="C70" s="2" t="e">
        <f>SUMIFS('物料分类表 R22'!#REF!,'物料分类表 R22'!$B$2:$B$1090,A70)</f>
        <v>#REF!</v>
      </c>
      <c r="D70" s="2" t="e">
        <f>IF(COUNT($A70)=0,"",IF(VLOOKUP($A70,'物料分类表 R22'!$B$2:$H$1090,D$3*2,FALSE)=0,D69,VLOOKUP($A70,'物料分类表 R22'!$B$2:$H$1090,D$3*2,FALSE)))</f>
        <v>#REF!</v>
      </c>
      <c r="E70" s="1" t="e">
        <f t="shared" si="4"/>
        <v>#REF!</v>
      </c>
      <c r="F70" s="1" t="e">
        <f t="shared" si="5"/>
        <v>#REF!</v>
      </c>
      <c r="G70" s="1" t="e">
        <f t="shared" si="6"/>
        <v>#REF!</v>
      </c>
      <c r="P70" s="1" t="s">
        <v>2105</v>
      </c>
      <c r="Q70" s="2" t="s">
        <v>247</v>
      </c>
    </row>
    <row r="71" customHeight="1" spans="1:17">
      <c r="A71" s="1">
        <f>IF(MAX($A$2:A70)=$B$1,"",MAX($A$2:A70)+1)</f>
        <v>68</v>
      </c>
      <c r="B71" s="2" t="e">
        <f>IF(COUNT($A71)=0,"",VLOOKUP($A71,'物料分类表 R22'!$B$2:$H$1090,C71*2,FALSE))</f>
        <v>#REF!</v>
      </c>
      <c r="C71" s="2" t="e">
        <f>SUMIFS('物料分类表 R22'!#REF!,'物料分类表 R22'!$B$2:$B$1090,A71)</f>
        <v>#REF!</v>
      </c>
      <c r="D71" s="2" t="e">
        <f>IF(COUNT($A71)=0,"",IF(VLOOKUP($A71,'物料分类表 R22'!$B$2:$H$1090,D$3*2,FALSE)=0,D70,VLOOKUP($A71,'物料分类表 R22'!$B$2:$H$1090,D$3*2,FALSE)))</f>
        <v>#REF!</v>
      </c>
      <c r="E71" s="1" t="e">
        <f t="shared" si="4"/>
        <v>#REF!</v>
      </c>
      <c r="F71" s="1" t="e">
        <f t="shared" si="5"/>
        <v>#REF!</v>
      </c>
      <c r="G71" s="1" t="e">
        <f t="shared" si="6"/>
        <v>#REF!</v>
      </c>
      <c r="P71" s="1" t="s">
        <v>2105</v>
      </c>
      <c r="Q71" s="2" t="s">
        <v>249</v>
      </c>
    </row>
    <row r="72" customHeight="1" spans="1:17">
      <c r="A72" s="1">
        <f>IF(MAX($A$2:A71)=$B$1,"",MAX($A$2:A71)+1)</f>
        <v>69</v>
      </c>
      <c r="B72" s="2" t="e">
        <f>IF(COUNT($A72)=0,"",VLOOKUP($A72,'物料分类表 R22'!$B$2:$H$1090,C72*2,FALSE))</f>
        <v>#REF!</v>
      </c>
      <c r="C72" s="2" t="e">
        <f>SUMIFS('物料分类表 R22'!#REF!,'物料分类表 R22'!$B$2:$B$1090,A72)</f>
        <v>#REF!</v>
      </c>
      <c r="D72" s="2" t="e">
        <f>IF(COUNT($A72)=0,"",IF(VLOOKUP($A72,'物料分类表 R22'!$B$2:$H$1090,D$3*2,FALSE)=0,D71,VLOOKUP($A72,'物料分类表 R22'!$B$2:$H$1090,D$3*2,FALSE)))</f>
        <v>#REF!</v>
      </c>
      <c r="E72" s="1" t="e">
        <f t="shared" si="4"/>
        <v>#REF!</v>
      </c>
      <c r="F72" s="1" t="e">
        <f t="shared" si="5"/>
        <v>#REF!</v>
      </c>
      <c r="G72" s="1" t="e">
        <f t="shared" si="6"/>
        <v>#REF!</v>
      </c>
      <c r="P72" s="1" t="s">
        <v>2105</v>
      </c>
      <c r="Q72" s="2" t="s">
        <v>251</v>
      </c>
    </row>
    <row r="73" customHeight="1" spans="1:17">
      <c r="A73" s="1">
        <f>IF(MAX($A$2:A72)=$B$1,"",MAX($A$2:A72)+1)</f>
        <v>70</v>
      </c>
      <c r="B73" s="2" t="e">
        <f>IF(COUNT($A73)=0,"",VLOOKUP($A73,'物料分类表 R22'!$B$2:$H$1090,C73*2,FALSE))</f>
        <v>#REF!</v>
      </c>
      <c r="C73" s="2" t="e">
        <f>SUMIFS('物料分类表 R22'!#REF!,'物料分类表 R22'!$B$2:$B$1090,A73)</f>
        <v>#REF!</v>
      </c>
      <c r="D73" s="2" t="e">
        <f>IF(COUNT($A73)=0,"",IF(VLOOKUP($A73,'物料分类表 R22'!$B$2:$H$1090,D$3*2,FALSE)=0,D72,VLOOKUP($A73,'物料分类表 R22'!$B$2:$H$1090,D$3*2,FALSE)))</f>
        <v>#REF!</v>
      </c>
      <c r="E73" s="1" t="e">
        <f t="shared" si="4"/>
        <v>#REF!</v>
      </c>
      <c r="F73" s="1" t="e">
        <f t="shared" si="5"/>
        <v>#REF!</v>
      </c>
      <c r="G73" s="1" t="e">
        <f t="shared" si="6"/>
        <v>#REF!</v>
      </c>
      <c r="P73" s="1" t="s">
        <v>2105</v>
      </c>
      <c r="Q73" s="2" t="s">
        <v>2108</v>
      </c>
    </row>
    <row r="74" customHeight="1" spans="1:17">
      <c r="A74" s="1">
        <f>IF(MAX($A$2:A73)=$B$1,"",MAX($A$2:A73)+1)</f>
        <v>71</v>
      </c>
      <c r="B74" s="2" t="e">
        <f>IF(COUNT($A74)=0,"",VLOOKUP($A74,'物料分类表 R22'!$B$2:$H$1090,C74*2,FALSE))</f>
        <v>#REF!</v>
      </c>
      <c r="C74" s="2" t="e">
        <f>SUMIFS('物料分类表 R22'!#REF!,'物料分类表 R22'!$B$2:$B$1090,A74)</f>
        <v>#REF!</v>
      </c>
      <c r="D74" s="2" t="e">
        <f>IF(COUNT($A74)=0,"",IF(VLOOKUP($A74,'物料分类表 R22'!$B$2:$H$1090,D$3*2,FALSE)=0,D73,VLOOKUP($A74,'物料分类表 R22'!$B$2:$H$1090,D$3*2,FALSE)))</f>
        <v>#REF!</v>
      </c>
      <c r="E74" s="1" t="e">
        <f t="shared" si="4"/>
        <v>#REF!</v>
      </c>
      <c r="F74" s="1" t="e">
        <f t="shared" si="5"/>
        <v>#REF!</v>
      </c>
      <c r="G74" s="1" t="e">
        <f t="shared" si="6"/>
        <v>#REF!</v>
      </c>
      <c r="P74" s="1" t="s">
        <v>2105</v>
      </c>
      <c r="Q74" s="2" t="s">
        <v>2109</v>
      </c>
    </row>
    <row r="75" customHeight="1" spans="1:17">
      <c r="A75" s="1">
        <f>IF(MAX($A$2:A74)=$B$1,"",MAX($A$2:A74)+1)</f>
        <v>72</v>
      </c>
      <c r="B75" s="2" t="e">
        <f>IF(COUNT($A75)=0,"",VLOOKUP($A75,'物料分类表 R22'!$B$2:$H$1090,C75*2,FALSE))</f>
        <v>#REF!</v>
      </c>
      <c r="C75" s="2" t="e">
        <f>SUMIFS('物料分类表 R22'!#REF!,'物料分类表 R22'!$B$2:$B$1090,A75)</f>
        <v>#REF!</v>
      </c>
      <c r="D75" s="2" t="e">
        <f>IF(COUNT($A75)=0,"",IF(VLOOKUP($A75,'物料分类表 R22'!$B$2:$H$1090,D$3*2,FALSE)=0,D74,VLOOKUP($A75,'物料分类表 R22'!$B$2:$H$1090,D$3*2,FALSE)))</f>
        <v>#REF!</v>
      </c>
      <c r="E75" s="1" t="e">
        <f t="shared" si="4"/>
        <v>#REF!</v>
      </c>
      <c r="F75" s="1" t="e">
        <f t="shared" si="5"/>
        <v>#REF!</v>
      </c>
      <c r="G75" s="1" t="e">
        <f t="shared" si="6"/>
        <v>#REF!</v>
      </c>
      <c r="P75" s="1" t="s">
        <v>2105</v>
      </c>
      <c r="Q75" s="2" t="s">
        <v>253</v>
      </c>
    </row>
    <row r="76" customHeight="1" spans="1:17">
      <c r="A76" s="1">
        <f>IF(MAX($A$2:A75)=$B$1,"",MAX($A$2:A75)+1)</f>
        <v>73</v>
      </c>
      <c r="B76" s="2" t="e">
        <f>IF(COUNT($A76)=0,"",VLOOKUP($A76,'物料分类表 R22'!$B$2:$H$1090,C76*2,FALSE))</f>
        <v>#REF!</v>
      </c>
      <c r="C76" s="2" t="e">
        <f>SUMIFS('物料分类表 R22'!#REF!,'物料分类表 R22'!$B$2:$B$1090,A76)</f>
        <v>#REF!</v>
      </c>
      <c r="D76" s="2" t="e">
        <f>IF(COUNT($A76)=0,"",IF(VLOOKUP($A76,'物料分类表 R22'!$B$2:$H$1090,D$3*2,FALSE)=0,D75,VLOOKUP($A76,'物料分类表 R22'!$B$2:$H$1090,D$3*2,FALSE)))</f>
        <v>#REF!</v>
      </c>
      <c r="E76" s="1" t="e">
        <f t="shared" si="4"/>
        <v>#REF!</v>
      </c>
      <c r="F76" s="1" t="e">
        <f t="shared" si="5"/>
        <v>#REF!</v>
      </c>
      <c r="G76" s="1" t="e">
        <f t="shared" si="6"/>
        <v>#REF!</v>
      </c>
      <c r="P76" s="1" t="s">
        <v>2105</v>
      </c>
      <c r="Q76" s="2" t="s">
        <v>2110</v>
      </c>
    </row>
    <row r="77" customHeight="1" spans="1:17">
      <c r="A77" s="1">
        <f>IF(MAX($A$2:A76)=$B$1,"",MAX($A$2:A76)+1)</f>
        <v>74</v>
      </c>
      <c r="B77" s="2" t="e">
        <f>IF(COUNT($A77)=0,"",VLOOKUP($A77,'物料分类表 R22'!$B$2:$H$1090,C77*2,FALSE))</f>
        <v>#REF!</v>
      </c>
      <c r="C77" s="2" t="e">
        <f>SUMIFS('物料分类表 R22'!#REF!,'物料分类表 R22'!$B$2:$B$1090,A77)</f>
        <v>#REF!</v>
      </c>
      <c r="D77" s="2" t="e">
        <f>IF(COUNT($A77)=0,"",IF(VLOOKUP($A77,'物料分类表 R22'!$B$2:$H$1090,D$3*2,FALSE)=0,D76,VLOOKUP($A77,'物料分类表 R22'!$B$2:$H$1090,D$3*2,FALSE)))</f>
        <v>#REF!</v>
      </c>
      <c r="E77" s="1" t="e">
        <f t="shared" si="4"/>
        <v>#REF!</v>
      </c>
      <c r="F77" s="1" t="e">
        <f t="shared" si="5"/>
        <v>#REF!</v>
      </c>
      <c r="G77" s="1" t="e">
        <f t="shared" si="6"/>
        <v>#REF!</v>
      </c>
      <c r="P77" s="1" t="s">
        <v>2105</v>
      </c>
      <c r="Q77" s="2" t="s">
        <v>233</v>
      </c>
    </row>
    <row r="78" customHeight="1" spans="1:17">
      <c r="A78" s="1">
        <f>IF(MAX($A$2:A77)=$B$1,"",MAX($A$2:A77)+1)</f>
        <v>75</v>
      </c>
      <c r="B78" s="2" t="e">
        <f>IF(COUNT($A78)=0,"",VLOOKUP($A78,'物料分类表 R22'!$B$2:$H$1090,C78*2,FALSE))</f>
        <v>#REF!</v>
      </c>
      <c r="C78" s="2" t="e">
        <f>SUMIFS('物料分类表 R22'!#REF!,'物料分类表 R22'!$B$2:$B$1090,A78)</f>
        <v>#REF!</v>
      </c>
      <c r="D78" s="2" t="e">
        <f>IF(COUNT($A78)=0,"",IF(VLOOKUP($A78,'物料分类表 R22'!$B$2:$H$1090,D$3*2,FALSE)=0,D77,VLOOKUP($A78,'物料分类表 R22'!$B$2:$H$1090,D$3*2,FALSE)))</f>
        <v>#REF!</v>
      </c>
      <c r="E78" s="1" t="e">
        <f t="shared" si="4"/>
        <v>#REF!</v>
      </c>
      <c r="F78" s="1" t="e">
        <f t="shared" si="5"/>
        <v>#REF!</v>
      </c>
      <c r="G78" s="1" t="e">
        <f t="shared" si="6"/>
        <v>#REF!</v>
      </c>
      <c r="P78" s="1" t="s">
        <v>2105</v>
      </c>
      <c r="Q78" s="2" t="s">
        <v>2111</v>
      </c>
    </row>
    <row r="79" customHeight="1" spans="1:17">
      <c r="A79" s="1">
        <f>IF(MAX($A$2:A78)=$B$1,"",MAX($A$2:A78)+1)</f>
        <v>76</v>
      </c>
      <c r="B79" s="2" t="e">
        <f>IF(COUNT($A79)=0,"",VLOOKUP($A79,'物料分类表 R22'!$B$2:$H$1090,C79*2,FALSE))</f>
        <v>#REF!</v>
      </c>
      <c r="C79" s="2" t="e">
        <f>SUMIFS('物料分类表 R22'!#REF!,'物料分类表 R22'!$B$2:$B$1090,A79)</f>
        <v>#REF!</v>
      </c>
      <c r="D79" s="2" t="e">
        <f>IF(COUNT($A79)=0,"",IF(VLOOKUP($A79,'物料分类表 R22'!$B$2:$H$1090,D$3*2,FALSE)=0,D78,VLOOKUP($A79,'物料分类表 R22'!$B$2:$H$1090,D$3*2,FALSE)))</f>
        <v>#REF!</v>
      </c>
      <c r="E79" s="1" t="e">
        <f t="shared" si="4"/>
        <v>#REF!</v>
      </c>
      <c r="F79" s="1" t="e">
        <f t="shared" si="5"/>
        <v>#REF!</v>
      </c>
      <c r="G79" s="1" t="e">
        <f t="shared" si="6"/>
        <v>#REF!</v>
      </c>
      <c r="P79" s="1" t="s">
        <v>2105</v>
      </c>
      <c r="Q79" s="2" t="s">
        <v>255</v>
      </c>
    </row>
    <row r="80" customHeight="1" spans="1:17">
      <c r="A80" s="1">
        <f>IF(MAX($A$2:A79)=$B$1,"",MAX($A$2:A79)+1)</f>
        <v>77</v>
      </c>
      <c r="B80" s="2" t="e">
        <f>IF(COUNT($A80)=0,"",VLOOKUP($A80,'物料分类表 R22'!$B$2:$H$1090,C80*2,FALSE))</f>
        <v>#REF!</v>
      </c>
      <c r="C80" s="2" t="e">
        <f>SUMIFS('物料分类表 R22'!#REF!,'物料分类表 R22'!$B$2:$B$1090,A80)</f>
        <v>#REF!</v>
      </c>
      <c r="D80" s="2" t="e">
        <f>IF(COUNT($A80)=0,"",IF(VLOOKUP($A80,'物料分类表 R22'!$B$2:$H$1090,D$3*2,FALSE)=0,D79,VLOOKUP($A80,'物料分类表 R22'!$B$2:$H$1090,D$3*2,FALSE)))</f>
        <v>#REF!</v>
      </c>
      <c r="E80" s="1" t="e">
        <f t="shared" si="4"/>
        <v>#REF!</v>
      </c>
      <c r="F80" s="1" t="e">
        <f t="shared" si="5"/>
        <v>#REF!</v>
      </c>
      <c r="G80" s="1" t="e">
        <f t="shared" si="6"/>
        <v>#REF!</v>
      </c>
      <c r="P80" s="1" t="s">
        <v>2105</v>
      </c>
      <c r="Q80" s="2" t="s">
        <v>257</v>
      </c>
    </row>
    <row r="81" customHeight="1" spans="1:17">
      <c r="A81" s="1">
        <f>IF(MAX($A$2:A80)=$B$1,"",MAX($A$2:A80)+1)</f>
        <v>78</v>
      </c>
      <c r="B81" s="2" t="e">
        <f>IF(COUNT($A81)=0,"",VLOOKUP($A81,'物料分类表 R22'!$B$2:$H$1090,C81*2,FALSE))</f>
        <v>#REF!</v>
      </c>
      <c r="C81" s="2" t="e">
        <f>SUMIFS('物料分类表 R22'!#REF!,'物料分类表 R22'!$B$2:$B$1090,A81)</f>
        <v>#REF!</v>
      </c>
      <c r="D81" s="2" t="e">
        <f>IF(COUNT($A81)=0,"",IF(VLOOKUP($A81,'物料分类表 R22'!$B$2:$H$1090,D$3*2,FALSE)=0,D80,VLOOKUP($A81,'物料分类表 R22'!$B$2:$H$1090,D$3*2,FALSE)))</f>
        <v>#REF!</v>
      </c>
      <c r="E81" s="1" t="e">
        <f t="shared" si="4"/>
        <v>#REF!</v>
      </c>
      <c r="F81" s="1" t="e">
        <f t="shared" si="5"/>
        <v>#REF!</v>
      </c>
      <c r="G81" s="1" t="e">
        <f t="shared" si="6"/>
        <v>#REF!</v>
      </c>
      <c r="P81" s="1" t="s">
        <v>2105</v>
      </c>
      <c r="Q81" s="2" t="s">
        <v>259</v>
      </c>
    </row>
    <row r="82" customHeight="1" spans="1:17">
      <c r="A82" s="1">
        <f>IF(MAX($A$2:A81)=$B$1,"",MAX($A$2:A81)+1)</f>
        <v>79</v>
      </c>
      <c r="B82" s="2" t="e">
        <f>IF(COUNT($A82)=0,"",VLOOKUP($A82,'物料分类表 R22'!$B$2:$H$1090,C82*2,FALSE))</f>
        <v>#REF!</v>
      </c>
      <c r="C82" s="2" t="e">
        <f>SUMIFS('物料分类表 R22'!#REF!,'物料分类表 R22'!$B$2:$B$1090,A82)</f>
        <v>#REF!</v>
      </c>
      <c r="D82" s="2" t="e">
        <f>IF(COUNT($A82)=0,"",IF(VLOOKUP($A82,'物料分类表 R22'!$B$2:$H$1090,D$3*2,FALSE)=0,D81,VLOOKUP($A82,'物料分类表 R22'!$B$2:$H$1090,D$3*2,FALSE)))</f>
        <v>#REF!</v>
      </c>
      <c r="E82" s="1" t="e">
        <f t="shared" si="4"/>
        <v>#REF!</v>
      </c>
      <c r="F82" s="1" t="e">
        <f t="shared" si="5"/>
        <v>#REF!</v>
      </c>
      <c r="G82" s="1" t="e">
        <f t="shared" si="6"/>
        <v>#REF!</v>
      </c>
      <c r="P82" s="1" t="s">
        <v>2105</v>
      </c>
      <c r="Q82" s="2" t="s">
        <v>2112</v>
      </c>
    </row>
    <row r="83" customHeight="1" spans="1:17">
      <c r="A83" s="1">
        <f>IF(MAX($A$2:A82)=$B$1,"",MAX($A$2:A82)+1)</f>
        <v>80</v>
      </c>
      <c r="B83" s="2" t="e">
        <f>IF(COUNT($A83)=0,"",VLOOKUP($A83,'物料分类表 R22'!$B$2:$H$1090,C83*2,FALSE))</f>
        <v>#REF!</v>
      </c>
      <c r="C83" s="2" t="e">
        <f>SUMIFS('物料分类表 R22'!#REF!,'物料分类表 R22'!$B$2:$B$1090,A83)</f>
        <v>#REF!</v>
      </c>
      <c r="D83" s="2" t="e">
        <f>IF(COUNT($A83)=0,"",IF(VLOOKUP($A83,'物料分类表 R22'!$B$2:$H$1090,D$3*2,FALSE)=0,D82,VLOOKUP($A83,'物料分类表 R22'!$B$2:$H$1090,D$3*2,FALSE)))</f>
        <v>#REF!</v>
      </c>
      <c r="E83" s="1" t="e">
        <f t="shared" si="4"/>
        <v>#REF!</v>
      </c>
      <c r="F83" s="1" t="e">
        <f t="shared" si="5"/>
        <v>#REF!</v>
      </c>
      <c r="G83" s="1" t="e">
        <f t="shared" si="6"/>
        <v>#REF!</v>
      </c>
      <c r="P83" s="1" t="s">
        <v>2105</v>
      </c>
      <c r="Q83" s="2" t="s">
        <v>2113</v>
      </c>
    </row>
    <row r="84" customHeight="1" spans="1:17">
      <c r="A84" s="1">
        <f>IF(MAX($A$2:A83)=$B$1,"",MAX($A$2:A83)+1)</f>
        <v>81</v>
      </c>
      <c r="B84" s="2" t="e">
        <f>IF(COUNT($A84)=0,"",VLOOKUP($A84,'物料分类表 R22'!$B$2:$H$1090,C84*2,FALSE))</f>
        <v>#REF!</v>
      </c>
      <c r="C84" s="2" t="e">
        <f>SUMIFS('物料分类表 R22'!#REF!,'物料分类表 R22'!$B$2:$B$1090,A84)</f>
        <v>#REF!</v>
      </c>
      <c r="D84" s="2" t="e">
        <f>IF(COUNT($A84)=0,"",IF(VLOOKUP($A84,'物料分类表 R22'!$B$2:$H$1090,D$3*2,FALSE)=0,D83,VLOOKUP($A84,'物料分类表 R22'!$B$2:$H$1090,D$3*2,FALSE)))</f>
        <v>#REF!</v>
      </c>
      <c r="E84" s="1" t="e">
        <f t="shared" si="4"/>
        <v>#REF!</v>
      </c>
      <c r="F84" s="1" t="e">
        <f t="shared" si="5"/>
        <v>#REF!</v>
      </c>
      <c r="G84" s="1" t="e">
        <f t="shared" si="6"/>
        <v>#REF!</v>
      </c>
      <c r="P84" s="1" t="s">
        <v>2114</v>
      </c>
      <c r="Q84" s="2" t="s">
        <v>261</v>
      </c>
    </row>
    <row r="85" customHeight="1" spans="1:17">
      <c r="A85" s="1">
        <f>IF(MAX($A$2:A84)=$B$1,"",MAX($A$2:A84)+1)</f>
        <v>82</v>
      </c>
      <c r="B85" s="2" t="e">
        <f>IF(COUNT($A85)=0,"",VLOOKUP($A85,'物料分类表 R22'!$B$2:$H$1090,C85*2,FALSE))</f>
        <v>#REF!</v>
      </c>
      <c r="C85" s="2" t="e">
        <f>SUMIFS('物料分类表 R22'!#REF!,'物料分类表 R22'!$B$2:$B$1090,A85)</f>
        <v>#REF!</v>
      </c>
      <c r="D85" s="2" t="e">
        <f>IF(COUNT($A85)=0,"",IF(VLOOKUP($A85,'物料分类表 R22'!$B$2:$H$1090,D$3*2,FALSE)=0,D84,VLOOKUP($A85,'物料分类表 R22'!$B$2:$H$1090,D$3*2,FALSE)))</f>
        <v>#REF!</v>
      </c>
      <c r="E85" s="1" t="e">
        <f t="shared" si="4"/>
        <v>#REF!</v>
      </c>
      <c r="F85" s="1" t="e">
        <f t="shared" si="5"/>
        <v>#REF!</v>
      </c>
      <c r="G85" s="1" t="e">
        <f t="shared" si="6"/>
        <v>#REF!</v>
      </c>
      <c r="P85" s="1" t="s">
        <v>2115</v>
      </c>
      <c r="Q85" s="2" t="s">
        <v>269</v>
      </c>
    </row>
    <row r="86" customHeight="1" spans="1:17">
      <c r="A86" s="1">
        <f>IF(MAX($A$2:A85)=$B$1,"",MAX($A$2:A85)+1)</f>
        <v>83</v>
      </c>
      <c r="B86" s="2" t="e">
        <f>IF(COUNT($A86)=0,"",VLOOKUP($A86,'物料分类表 R22'!$B$2:$H$1090,C86*2,FALSE))</f>
        <v>#REF!</v>
      </c>
      <c r="C86" s="2" t="e">
        <f>SUMIFS('物料分类表 R22'!#REF!,'物料分类表 R22'!$B$2:$B$1090,A86)</f>
        <v>#REF!</v>
      </c>
      <c r="D86" s="2" t="e">
        <f>IF(COUNT($A86)=0,"",IF(VLOOKUP($A86,'物料分类表 R22'!$B$2:$H$1090,D$3*2,FALSE)=0,D85,VLOOKUP($A86,'物料分类表 R22'!$B$2:$H$1090,D$3*2,FALSE)))</f>
        <v>#REF!</v>
      </c>
      <c r="E86" s="1" t="e">
        <f t="shared" si="4"/>
        <v>#REF!</v>
      </c>
      <c r="F86" s="1" t="e">
        <f t="shared" si="5"/>
        <v>#REF!</v>
      </c>
      <c r="G86" s="1" t="e">
        <f t="shared" si="6"/>
        <v>#REF!</v>
      </c>
      <c r="P86" s="1" t="s">
        <v>2115</v>
      </c>
      <c r="Q86" s="2" t="s">
        <v>271</v>
      </c>
    </row>
    <row r="87" customHeight="1" spans="1:17">
      <c r="A87" s="1">
        <f>IF(MAX($A$2:A86)=$B$1,"",MAX($A$2:A86)+1)</f>
        <v>84</v>
      </c>
      <c r="B87" s="2" t="e">
        <f>IF(COUNT($A87)=0,"",VLOOKUP($A87,'物料分类表 R22'!$B$2:$H$1090,C87*2,FALSE))</f>
        <v>#REF!</v>
      </c>
      <c r="C87" s="2" t="e">
        <f>SUMIFS('物料分类表 R22'!#REF!,'物料分类表 R22'!$B$2:$B$1090,A87)</f>
        <v>#REF!</v>
      </c>
      <c r="D87" s="2" t="e">
        <f>IF(COUNT($A87)=0,"",IF(VLOOKUP($A87,'物料分类表 R22'!$B$2:$H$1090,D$3*2,FALSE)=0,D86,VLOOKUP($A87,'物料分类表 R22'!$B$2:$H$1090,D$3*2,FALSE)))</f>
        <v>#REF!</v>
      </c>
      <c r="E87" s="1" t="e">
        <f t="shared" si="4"/>
        <v>#REF!</v>
      </c>
      <c r="F87" s="1" t="e">
        <f t="shared" si="5"/>
        <v>#REF!</v>
      </c>
      <c r="G87" s="1" t="e">
        <f t="shared" si="6"/>
        <v>#REF!</v>
      </c>
      <c r="P87" s="1" t="s">
        <v>2115</v>
      </c>
      <c r="Q87" s="2" t="s">
        <v>2116</v>
      </c>
    </row>
    <row r="88" customHeight="1" spans="1:17">
      <c r="A88" s="1">
        <f>IF(MAX($A$2:A87)=$B$1,"",MAX($A$2:A87)+1)</f>
        <v>85</v>
      </c>
      <c r="B88" s="2" t="e">
        <f>IF(COUNT($A88)=0,"",VLOOKUP($A88,'物料分类表 R22'!$B$2:$H$1090,C88*2,FALSE))</f>
        <v>#REF!</v>
      </c>
      <c r="C88" s="2" t="e">
        <f>SUMIFS('物料分类表 R22'!#REF!,'物料分类表 R22'!$B$2:$B$1090,A88)</f>
        <v>#REF!</v>
      </c>
      <c r="D88" s="2" t="e">
        <f>IF(COUNT($A88)=0,"",IF(VLOOKUP($A88,'物料分类表 R22'!$B$2:$H$1090,D$3*2,FALSE)=0,D87,VLOOKUP($A88,'物料分类表 R22'!$B$2:$H$1090,D$3*2,FALSE)))</f>
        <v>#REF!</v>
      </c>
      <c r="E88" s="1" t="e">
        <f t="shared" si="4"/>
        <v>#REF!</v>
      </c>
      <c r="F88" s="1" t="e">
        <f t="shared" si="5"/>
        <v>#REF!</v>
      </c>
      <c r="G88" s="1" t="e">
        <f t="shared" si="6"/>
        <v>#REF!</v>
      </c>
      <c r="P88" s="1" t="s">
        <v>2115</v>
      </c>
      <c r="Q88" s="2" t="s">
        <v>275</v>
      </c>
    </row>
    <row r="89" customHeight="1" spans="1:17">
      <c r="A89" s="1">
        <f>IF(MAX($A$2:A88)=$B$1,"",MAX($A$2:A88)+1)</f>
        <v>86</v>
      </c>
      <c r="B89" s="2" t="e">
        <f>IF(COUNT($A89)=0,"",VLOOKUP($A89,'物料分类表 R22'!$B$2:$H$1090,C89*2,FALSE))</f>
        <v>#REF!</v>
      </c>
      <c r="C89" s="2" t="e">
        <f>SUMIFS('物料分类表 R22'!#REF!,'物料分类表 R22'!$B$2:$B$1090,A89)</f>
        <v>#REF!</v>
      </c>
      <c r="D89" s="2" t="e">
        <f>IF(COUNT($A89)=0,"",IF(VLOOKUP($A89,'物料分类表 R22'!$B$2:$H$1090,D$3*2,FALSE)=0,D88,VLOOKUP($A89,'物料分类表 R22'!$B$2:$H$1090,D$3*2,FALSE)))</f>
        <v>#REF!</v>
      </c>
      <c r="E89" s="1" t="e">
        <f t="shared" si="4"/>
        <v>#REF!</v>
      </c>
      <c r="F89" s="1" t="e">
        <f t="shared" si="5"/>
        <v>#REF!</v>
      </c>
      <c r="G89" s="1" t="e">
        <f t="shared" si="6"/>
        <v>#REF!</v>
      </c>
      <c r="P89" s="1" t="s">
        <v>2115</v>
      </c>
      <c r="Q89" s="2" t="s">
        <v>2117</v>
      </c>
    </row>
    <row r="90" customHeight="1" spans="1:17">
      <c r="A90" s="1">
        <f>IF(MAX($A$2:A89)=$B$1,"",MAX($A$2:A89)+1)</f>
        <v>87</v>
      </c>
      <c r="B90" s="2" t="e">
        <f>IF(COUNT($A90)=0,"",VLOOKUP($A90,'物料分类表 R22'!$B$2:$H$1090,C90*2,FALSE))</f>
        <v>#REF!</v>
      </c>
      <c r="C90" s="2" t="e">
        <f>SUMIFS('物料分类表 R22'!#REF!,'物料分类表 R22'!$B$2:$B$1090,A90)</f>
        <v>#REF!</v>
      </c>
      <c r="D90" s="2" t="e">
        <f>IF(COUNT($A90)=0,"",IF(VLOOKUP($A90,'物料分类表 R22'!$B$2:$H$1090,D$3*2,FALSE)=0,D89,VLOOKUP($A90,'物料分类表 R22'!$B$2:$H$1090,D$3*2,FALSE)))</f>
        <v>#REF!</v>
      </c>
      <c r="E90" s="1" t="e">
        <f t="shared" si="4"/>
        <v>#REF!</v>
      </c>
      <c r="F90" s="1" t="e">
        <f t="shared" si="5"/>
        <v>#REF!</v>
      </c>
      <c r="G90" s="1" t="e">
        <f t="shared" si="6"/>
        <v>#REF!</v>
      </c>
      <c r="P90" s="1" t="s">
        <v>2115</v>
      </c>
      <c r="Q90" s="2" t="s">
        <v>2118</v>
      </c>
    </row>
    <row r="91" customHeight="1" spans="1:17">
      <c r="A91" s="1">
        <f>IF(MAX($A$2:A90)=$B$1,"",MAX($A$2:A90)+1)</f>
        <v>88</v>
      </c>
      <c r="B91" s="2" t="e">
        <f>IF(COUNT($A91)=0,"",VLOOKUP($A91,'物料分类表 R22'!$B$2:$H$1090,C91*2,FALSE))</f>
        <v>#REF!</v>
      </c>
      <c r="C91" s="2" t="e">
        <f>SUMIFS('物料分类表 R22'!#REF!,'物料分类表 R22'!$B$2:$B$1090,A91)</f>
        <v>#REF!</v>
      </c>
      <c r="D91" s="2" t="e">
        <f>IF(COUNT($A91)=0,"",IF(VLOOKUP($A91,'物料分类表 R22'!$B$2:$H$1090,D$3*2,FALSE)=0,D90,VLOOKUP($A91,'物料分类表 R22'!$B$2:$H$1090,D$3*2,FALSE)))</f>
        <v>#REF!</v>
      </c>
      <c r="E91" s="1" t="e">
        <f t="shared" si="4"/>
        <v>#REF!</v>
      </c>
      <c r="F91" s="1" t="e">
        <f t="shared" si="5"/>
        <v>#REF!</v>
      </c>
      <c r="G91" s="1" t="e">
        <f t="shared" si="6"/>
        <v>#REF!</v>
      </c>
      <c r="P91" s="1" t="s">
        <v>2115</v>
      </c>
      <c r="Q91" s="2" t="s">
        <v>279</v>
      </c>
    </row>
    <row r="92" customHeight="1" spans="1:17">
      <c r="A92" s="1">
        <f>IF(MAX($A$2:A91)=$B$1,"",MAX($A$2:A91)+1)</f>
        <v>89</v>
      </c>
      <c r="B92" s="2" t="e">
        <f>IF(COUNT($A92)=0,"",VLOOKUP($A92,'物料分类表 R22'!$B$2:$H$1090,C92*2,FALSE))</f>
        <v>#REF!</v>
      </c>
      <c r="C92" s="2" t="e">
        <f>SUMIFS('物料分类表 R22'!#REF!,'物料分类表 R22'!$B$2:$B$1090,A92)</f>
        <v>#REF!</v>
      </c>
      <c r="D92" s="2" t="e">
        <f>IF(COUNT($A92)=0,"",IF(VLOOKUP($A92,'物料分类表 R22'!$B$2:$H$1090,D$3*2,FALSE)=0,D91,VLOOKUP($A92,'物料分类表 R22'!$B$2:$H$1090,D$3*2,FALSE)))</f>
        <v>#REF!</v>
      </c>
      <c r="E92" s="1" t="e">
        <f t="shared" si="4"/>
        <v>#REF!</v>
      </c>
      <c r="F92" s="1" t="e">
        <f t="shared" si="5"/>
        <v>#REF!</v>
      </c>
      <c r="G92" s="1" t="e">
        <f t="shared" si="6"/>
        <v>#REF!</v>
      </c>
      <c r="P92" s="1" t="s">
        <v>2115</v>
      </c>
      <c r="Q92" s="2" t="s">
        <v>281</v>
      </c>
    </row>
    <row r="93" customHeight="1" spans="1:17">
      <c r="A93" s="1">
        <f>IF(MAX($A$2:A92)=$B$1,"",MAX($A$2:A92)+1)</f>
        <v>90</v>
      </c>
      <c r="B93" s="2" t="e">
        <f>IF(COUNT($A93)=0,"",VLOOKUP($A93,'物料分类表 R22'!$B$2:$H$1090,C93*2,FALSE))</f>
        <v>#REF!</v>
      </c>
      <c r="C93" s="2" t="e">
        <f>SUMIFS('物料分类表 R22'!#REF!,'物料分类表 R22'!$B$2:$B$1090,A93)</f>
        <v>#REF!</v>
      </c>
      <c r="D93" s="2" t="e">
        <f>IF(COUNT($A93)=0,"",IF(VLOOKUP($A93,'物料分类表 R22'!$B$2:$H$1090,D$3*2,FALSE)=0,D92,VLOOKUP($A93,'物料分类表 R22'!$B$2:$H$1090,D$3*2,FALSE)))</f>
        <v>#REF!</v>
      </c>
      <c r="E93" s="1" t="e">
        <f t="shared" si="4"/>
        <v>#REF!</v>
      </c>
      <c r="F93" s="1" t="e">
        <f t="shared" si="5"/>
        <v>#REF!</v>
      </c>
      <c r="G93" s="1" t="e">
        <f t="shared" si="6"/>
        <v>#REF!</v>
      </c>
      <c r="P93" s="1" t="s">
        <v>2115</v>
      </c>
      <c r="Q93" s="2" t="s">
        <v>283</v>
      </c>
    </row>
    <row r="94" customHeight="1" spans="1:17">
      <c r="A94" s="1">
        <f>IF(MAX($A$2:A93)=$B$1,"",MAX($A$2:A93)+1)</f>
        <v>91</v>
      </c>
      <c r="B94" s="2" t="e">
        <f>IF(COUNT($A94)=0,"",VLOOKUP($A94,'物料分类表 R22'!$B$2:$H$1090,C94*2,FALSE))</f>
        <v>#REF!</v>
      </c>
      <c r="C94" s="2" t="e">
        <f>SUMIFS('物料分类表 R22'!#REF!,'物料分类表 R22'!$B$2:$B$1090,A94)</f>
        <v>#REF!</v>
      </c>
      <c r="D94" s="2" t="e">
        <f>IF(COUNT($A94)=0,"",IF(VLOOKUP($A94,'物料分类表 R22'!$B$2:$H$1090,D$3*2,FALSE)=0,D93,VLOOKUP($A94,'物料分类表 R22'!$B$2:$H$1090,D$3*2,FALSE)))</f>
        <v>#REF!</v>
      </c>
      <c r="E94" s="1" t="e">
        <f t="shared" si="4"/>
        <v>#REF!</v>
      </c>
      <c r="F94" s="1" t="e">
        <f t="shared" si="5"/>
        <v>#REF!</v>
      </c>
      <c r="G94" s="1" t="e">
        <f t="shared" si="6"/>
        <v>#REF!</v>
      </c>
      <c r="P94" s="1" t="s">
        <v>2115</v>
      </c>
      <c r="Q94" s="2" t="s">
        <v>2119</v>
      </c>
    </row>
    <row r="95" customHeight="1" spans="1:17">
      <c r="A95" s="1">
        <f>IF(MAX($A$2:A94)=$B$1,"",MAX($A$2:A94)+1)</f>
        <v>92</v>
      </c>
      <c r="B95" s="2" t="e">
        <f>IF(COUNT($A95)=0,"",VLOOKUP($A95,'物料分类表 R22'!$B$2:$H$1090,C95*2,FALSE))</f>
        <v>#REF!</v>
      </c>
      <c r="C95" s="2" t="e">
        <f>SUMIFS('物料分类表 R22'!#REF!,'物料分类表 R22'!$B$2:$B$1090,A95)</f>
        <v>#REF!</v>
      </c>
      <c r="D95" s="2" t="e">
        <f>IF(COUNT($A95)=0,"",IF(VLOOKUP($A95,'物料分类表 R22'!$B$2:$H$1090,D$3*2,FALSE)=0,D94,VLOOKUP($A95,'物料分类表 R22'!$B$2:$H$1090,D$3*2,FALSE)))</f>
        <v>#REF!</v>
      </c>
      <c r="E95" s="1" t="e">
        <f t="shared" si="4"/>
        <v>#REF!</v>
      </c>
      <c r="F95" s="1" t="e">
        <f t="shared" si="5"/>
        <v>#REF!</v>
      </c>
      <c r="G95" s="1" t="e">
        <f t="shared" si="6"/>
        <v>#REF!</v>
      </c>
      <c r="P95" s="1" t="s">
        <v>2115</v>
      </c>
      <c r="Q95" s="2" t="s">
        <v>287</v>
      </c>
    </row>
    <row r="96" customHeight="1" spans="1:17">
      <c r="A96" s="1">
        <f>IF(MAX($A$2:A95)=$B$1,"",MAX($A$2:A95)+1)</f>
        <v>93</v>
      </c>
      <c r="B96" s="2" t="e">
        <f>IF(COUNT($A96)=0,"",VLOOKUP($A96,'物料分类表 R22'!$B$2:$H$1090,C96*2,FALSE))</f>
        <v>#REF!</v>
      </c>
      <c r="C96" s="2" t="e">
        <f>SUMIFS('物料分类表 R22'!#REF!,'物料分类表 R22'!$B$2:$B$1090,A96)</f>
        <v>#REF!</v>
      </c>
      <c r="D96" s="2" t="e">
        <f>IF(COUNT($A96)=0,"",IF(VLOOKUP($A96,'物料分类表 R22'!$B$2:$H$1090,D$3*2,FALSE)=0,D95,VLOOKUP($A96,'物料分类表 R22'!$B$2:$H$1090,D$3*2,FALSE)))</f>
        <v>#REF!</v>
      </c>
      <c r="E96" s="1" t="e">
        <f t="shared" si="4"/>
        <v>#REF!</v>
      </c>
      <c r="F96" s="1" t="e">
        <f t="shared" si="5"/>
        <v>#REF!</v>
      </c>
      <c r="G96" s="1" t="e">
        <f t="shared" si="6"/>
        <v>#REF!</v>
      </c>
      <c r="P96" s="1" t="s">
        <v>2115</v>
      </c>
      <c r="Q96" s="2" t="s">
        <v>289</v>
      </c>
    </row>
    <row r="97" customHeight="1" spans="1:17">
      <c r="A97" s="1">
        <f>IF(MAX($A$2:A96)=$B$1,"",MAX($A$2:A96)+1)</f>
        <v>94</v>
      </c>
      <c r="B97" s="2" t="e">
        <f>IF(COUNT($A97)=0,"",VLOOKUP($A97,'物料分类表 R22'!$B$2:$H$1090,C97*2,FALSE))</f>
        <v>#REF!</v>
      </c>
      <c r="C97" s="2" t="e">
        <f>SUMIFS('物料分类表 R22'!#REF!,'物料分类表 R22'!$B$2:$B$1090,A97)</f>
        <v>#REF!</v>
      </c>
      <c r="D97" s="2" t="e">
        <f>IF(COUNT($A97)=0,"",IF(VLOOKUP($A97,'物料分类表 R22'!$B$2:$H$1090,D$3*2,FALSE)=0,D96,VLOOKUP($A97,'物料分类表 R22'!$B$2:$H$1090,D$3*2,FALSE)))</f>
        <v>#REF!</v>
      </c>
      <c r="E97" s="1" t="e">
        <f t="shared" si="4"/>
        <v>#REF!</v>
      </c>
      <c r="F97" s="1" t="e">
        <f t="shared" si="5"/>
        <v>#REF!</v>
      </c>
      <c r="G97" s="1" t="e">
        <f t="shared" si="6"/>
        <v>#REF!</v>
      </c>
      <c r="P97" s="1" t="s">
        <v>2115</v>
      </c>
      <c r="Q97" s="2" t="s">
        <v>291</v>
      </c>
    </row>
    <row r="98" customHeight="1" spans="1:17">
      <c r="A98" s="1">
        <f>IF(MAX($A$2:A97)=$B$1,"",MAX($A$2:A97)+1)</f>
        <v>95</v>
      </c>
      <c r="B98" s="2" t="e">
        <f>IF(COUNT($A98)=0,"",VLOOKUP($A98,'物料分类表 R22'!$B$2:$H$1090,C98*2,FALSE))</f>
        <v>#REF!</v>
      </c>
      <c r="C98" s="2" t="e">
        <f>SUMIFS('物料分类表 R22'!#REF!,'物料分类表 R22'!$B$2:$B$1090,A98)</f>
        <v>#REF!</v>
      </c>
      <c r="D98" s="2" t="e">
        <f>IF(COUNT($A98)=0,"",IF(VLOOKUP($A98,'物料分类表 R22'!$B$2:$H$1090,D$3*2,FALSE)=0,D97,VLOOKUP($A98,'物料分类表 R22'!$B$2:$H$1090,D$3*2,FALSE)))</f>
        <v>#REF!</v>
      </c>
      <c r="E98" s="1" t="e">
        <f t="shared" si="4"/>
        <v>#REF!</v>
      </c>
      <c r="F98" s="1" t="e">
        <f t="shared" si="5"/>
        <v>#REF!</v>
      </c>
      <c r="G98" s="1" t="e">
        <f t="shared" si="6"/>
        <v>#REF!</v>
      </c>
      <c r="P98" s="1" t="s">
        <v>2115</v>
      </c>
      <c r="Q98" s="2" t="s">
        <v>293</v>
      </c>
    </row>
    <row r="99" customHeight="1" spans="1:17">
      <c r="A99" s="1">
        <f>IF(MAX($A$2:A98)=$B$1,"",MAX($A$2:A98)+1)</f>
        <v>96</v>
      </c>
      <c r="B99" s="2" t="e">
        <f>IF(COUNT($A99)=0,"",VLOOKUP($A99,'物料分类表 R22'!$B$2:$H$1090,C99*2,FALSE))</f>
        <v>#REF!</v>
      </c>
      <c r="C99" s="2" t="e">
        <f>SUMIFS('物料分类表 R22'!#REF!,'物料分类表 R22'!$B$2:$B$1090,A99)</f>
        <v>#REF!</v>
      </c>
      <c r="D99" s="2" t="e">
        <f>IF(COUNT($A99)=0,"",IF(VLOOKUP($A99,'物料分类表 R22'!$B$2:$H$1090,D$3*2,FALSE)=0,D98,VLOOKUP($A99,'物料分类表 R22'!$B$2:$H$1090,D$3*2,FALSE)))</f>
        <v>#REF!</v>
      </c>
      <c r="E99" s="1" t="e">
        <f t="shared" si="4"/>
        <v>#REF!</v>
      </c>
      <c r="F99" s="1" t="e">
        <f t="shared" si="5"/>
        <v>#REF!</v>
      </c>
      <c r="G99" s="1" t="e">
        <f t="shared" si="6"/>
        <v>#REF!</v>
      </c>
      <c r="P99" s="1" t="s">
        <v>2115</v>
      </c>
      <c r="Q99" s="2" t="s">
        <v>295</v>
      </c>
    </row>
    <row r="100" customHeight="1" spans="1:17">
      <c r="A100" s="1">
        <f>IF(MAX($A$2:A99)=$B$1,"",MAX($A$2:A99)+1)</f>
        <v>97</v>
      </c>
      <c r="B100" s="2" t="e">
        <f>IF(COUNT($A100)=0,"",VLOOKUP($A100,'物料分类表 R22'!$B$2:$H$1090,C100*2,FALSE))</f>
        <v>#REF!</v>
      </c>
      <c r="C100" s="2" t="e">
        <f>SUMIFS('物料分类表 R22'!#REF!,'物料分类表 R22'!$B$2:$B$1090,A100)</f>
        <v>#REF!</v>
      </c>
      <c r="D100" s="2" t="e">
        <f>IF(COUNT($A100)=0,"",IF(VLOOKUP($A100,'物料分类表 R22'!$B$2:$H$1090,D$3*2,FALSE)=0,D99,VLOOKUP($A100,'物料分类表 R22'!$B$2:$H$1090,D$3*2,FALSE)))</f>
        <v>#REF!</v>
      </c>
      <c r="E100" s="1" t="e">
        <f t="shared" si="4"/>
        <v>#REF!</v>
      </c>
      <c r="F100" s="1" t="e">
        <f t="shared" si="5"/>
        <v>#REF!</v>
      </c>
      <c r="G100" s="1" t="e">
        <f t="shared" si="6"/>
        <v>#REF!</v>
      </c>
      <c r="P100" s="1" t="s">
        <v>2115</v>
      </c>
      <c r="Q100" s="2" t="s">
        <v>2120</v>
      </c>
    </row>
    <row r="101" customHeight="1" spans="1:17">
      <c r="A101" s="1">
        <f>IF(MAX($A$2:A100)=$B$1,"",MAX($A$2:A100)+1)</f>
        <v>98</v>
      </c>
      <c r="B101" s="2" t="e">
        <f>IF(COUNT($A101)=0,"",VLOOKUP($A101,'物料分类表 R22'!$B$2:$H$1090,C101*2,FALSE))</f>
        <v>#REF!</v>
      </c>
      <c r="C101" s="2" t="e">
        <f>SUMIFS('物料分类表 R22'!#REF!,'物料分类表 R22'!$B$2:$B$1090,A101)</f>
        <v>#REF!</v>
      </c>
      <c r="D101" s="2" t="e">
        <f>IF(COUNT($A101)=0,"",IF(VLOOKUP($A101,'物料分类表 R22'!$B$2:$H$1090,D$3*2,FALSE)=0,D100,VLOOKUP($A101,'物料分类表 R22'!$B$2:$H$1090,D$3*2,FALSE)))</f>
        <v>#REF!</v>
      </c>
      <c r="E101" s="1" t="e">
        <f t="shared" si="4"/>
        <v>#REF!</v>
      </c>
      <c r="F101" s="1" t="e">
        <f t="shared" si="5"/>
        <v>#REF!</v>
      </c>
      <c r="G101" s="1" t="e">
        <f t="shared" si="6"/>
        <v>#REF!</v>
      </c>
      <c r="P101" s="1" t="s">
        <v>2115</v>
      </c>
      <c r="Q101" s="2" t="s">
        <v>297</v>
      </c>
    </row>
    <row r="102" customHeight="1" spans="1:17">
      <c r="A102" s="1">
        <f>IF(MAX($A$2:A101)=$B$1,"",MAX($A$2:A101)+1)</f>
        <v>99</v>
      </c>
      <c r="B102" s="2" t="e">
        <f>IF(COUNT($A102)=0,"",VLOOKUP($A102,'物料分类表 R22'!$B$2:$H$1090,C102*2,FALSE))</f>
        <v>#REF!</v>
      </c>
      <c r="C102" s="2" t="e">
        <f>SUMIFS('物料分类表 R22'!#REF!,'物料分类表 R22'!$B$2:$B$1090,A102)</f>
        <v>#REF!</v>
      </c>
      <c r="D102" s="2" t="e">
        <f>IF(COUNT($A102)=0,"",IF(VLOOKUP($A102,'物料分类表 R22'!$B$2:$H$1090,D$3*2,FALSE)=0,D101,VLOOKUP($A102,'物料分类表 R22'!$B$2:$H$1090,D$3*2,FALSE)))</f>
        <v>#REF!</v>
      </c>
      <c r="E102" s="1" t="e">
        <f t="shared" si="4"/>
        <v>#REF!</v>
      </c>
      <c r="F102" s="1" t="e">
        <f t="shared" si="5"/>
        <v>#REF!</v>
      </c>
      <c r="G102" s="1" t="e">
        <f t="shared" si="6"/>
        <v>#REF!</v>
      </c>
      <c r="P102" s="1" t="s">
        <v>2115</v>
      </c>
      <c r="Q102" s="2" t="s">
        <v>299</v>
      </c>
    </row>
    <row r="103" customHeight="1" spans="1:17">
      <c r="A103" s="1">
        <f>IF(MAX($A$2:A102)=$B$1,"",MAX($A$2:A102)+1)</f>
        <v>100</v>
      </c>
      <c r="B103" s="2" t="e">
        <f>IF(COUNT($A103)=0,"",VLOOKUP($A103,'物料分类表 R22'!$B$2:$H$1090,C103*2,FALSE))</f>
        <v>#REF!</v>
      </c>
      <c r="C103" s="2" t="e">
        <f>SUMIFS('物料分类表 R22'!#REF!,'物料分类表 R22'!$B$2:$B$1090,A103)</f>
        <v>#REF!</v>
      </c>
      <c r="D103" s="2" t="e">
        <f>IF(COUNT($A103)=0,"",IF(VLOOKUP($A103,'物料分类表 R22'!$B$2:$H$1090,D$3*2,FALSE)=0,D102,VLOOKUP($A103,'物料分类表 R22'!$B$2:$H$1090,D$3*2,FALSE)))</f>
        <v>#REF!</v>
      </c>
      <c r="E103" s="1" t="e">
        <f t="shared" si="4"/>
        <v>#REF!</v>
      </c>
      <c r="F103" s="1" t="e">
        <f t="shared" si="5"/>
        <v>#REF!</v>
      </c>
      <c r="G103" s="1" t="e">
        <f t="shared" si="6"/>
        <v>#REF!</v>
      </c>
      <c r="P103" s="1" t="s">
        <v>2115</v>
      </c>
      <c r="Q103" s="2" t="s">
        <v>301</v>
      </c>
    </row>
    <row r="104" customHeight="1" spans="1:17">
      <c r="A104" s="1">
        <f>IF(MAX($A$2:A103)=$B$1,"",MAX($A$2:A103)+1)</f>
        <v>101</v>
      </c>
      <c r="B104" s="2" t="e">
        <f>IF(COUNT($A104)=0,"",VLOOKUP($A104,'物料分类表 R22'!$B$2:$H$1090,C104*2,FALSE))</f>
        <v>#REF!</v>
      </c>
      <c r="C104" s="2" t="e">
        <f>SUMIFS('物料分类表 R22'!#REF!,'物料分类表 R22'!$B$2:$B$1090,A104)</f>
        <v>#REF!</v>
      </c>
      <c r="D104" s="2" t="e">
        <f>IF(COUNT($A104)=0,"",IF(VLOOKUP($A104,'物料分类表 R22'!$B$2:$H$1090,D$3*2,FALSE)=0,D103,VLOOKUP($A104,'物料分类表 R22'!$B$2:$H$1090,D$3*2,FALSE)))</f>
        <v>#REF!</v>
      </c>
      <c r="E104" s="1" t="e">
        <f t="shared" si="4"/>
        <v>#REF!</v>
      </c>
      <c r="F104" s="1" t="e">
        <f t="shared" si="5"/>
        <v>#REF!</v>
      </c>
      <c r="G104" s="1" t="e">
        <f t="shared" si="6"/>
        <v>#REF!</v>
      </c>
      <c r="P104" s="1" t="s">
        <v>2115</v>
      </c>
      <c r="Q104" s="2" t="s">
        <v>2121</v>
      </c>
    </row>
    <row r="105" customHeight="1" spans="1:17">
      <c r="A105" s="1">
        <f>IF(MAX($A$2:A104)=$B$1,"",MAX($A$2:A104)+1)</f>
        <v>102</v>
      </c>
      <c r="B105" s="2" t="e">
        <f>IF(COUNT($A105)=0,"",VLOOKUP($A105,'物料分类表 R22'!$B$2:$H$1090,C105*2,FALSE))</f>
        <v>#REF!</v>
      </c>
      <c r="C105" s="2" t="e">
        <f>SUMIFS('物料分类表 R22'!#REF!,'物料分类表 R22'!$B$2:$B$1090,A105)</f>
        <v>#REF!</v>
      </c>
      <c r="D105" s="2" t="e">
        <f>IF(COUNT($A105)=0,"",IF(VLOOKUP($A105,'物料分类表 R22'!$B$2:$H$1090,D$3*2,FALSE)=0,D104,VLOOKUP($A105,'物料分类表 R22'!$B$2:$H$1090,D$3*2,FALSE)))</f>
        <v>#REF!</v>
      </c>
      <c r="E105" s="1" t="e">
        <f t="shared" si="4"/>
        <v>#REF!</v>
      </c>
      <c r="F105" s="1" t="e">
        <f t="shared" si="5"/>
        <v>#REF!</v>
      </c>
      <c r="G105" s="1" t="e">
        <f t="shared" si="6"/>
        <v>#REF!</v>
      </c>
      <c r="P105" s="1" t="s">
        <v>2115</v>
      </c>
      <c r="Q105" s="2" t="s">
        <v>303</v>
      </c>
    </row>
    <row r="106" customHeight="1" spans="1:17">
      <c r="A106" s="1">
        <f>IF(MAX($A$2:A105)=$B$1,"",MAX($A$2:A105)+1)</f>
        <v>103</v>
      </c>
      <c r="B106" s="2" t="e">
        <f>IF(COUNT($A106)=0,"",VLOOKUP($A106,'物料分类表 R22'!$B$2:$H$1090,C106*2,FALSE))</f>
        <v>#REF!</v>
      </c>
      <c r="C106" s="2" t="e">
        <f>SUMIFS('物料分类表 R22'!#REF!,'物料分类表 R22'!$B$2:$B$1090,A106)</f>
        <v>#REF!</v>
      </c>
      <c r="D106" s="2" t="e">
        <f>IF(COUNT($A106)=0,"",IF(VLOOKUP($A106,'物料分类表 R22'!$B$2:$H$1090,D$3*2,FALSE)=0,D105,VLOOKUP($A106,'物料分类表 R22'!$B$2:$H$1090,D$3*2,FALSE)))</f>
        <v>#REF!</v>
      </c>
      <c r="E106" s="1" t="e">
        <f t="shared" si="4"/>
        <v>#REF!</v>
      </c>
      <c r="F106" s="1" t="e">
        <f t="shared" si="5"/>
        <v>#REF!</v>
      </c>
      <c r="G106" s="1" t="e">
        <f t="shared" si="6"/>
        <v>#REF!</v>
      </c>
      <c r="P106" s="1" t="s">
        <v>2115</v>
      </c>
      <c r="Q106" s="2" t="s">
        <v>305</v>
      </c>
    </row>
    <row r="107" customHeight="1" spans="1:17">
      <c r="A107" s="1">
        <f>IF(MAX($A$2:A106)=$B$1,"",MAX($A$2:A106)+1)</f>
        <v>104</v>
      </c>
      <c r="B107" s="2" t="e">
        <f>IF(COUNT($A107)=0,"",VLOOKUP($A107,'物料分类表 R22'!$B$2:$H$1090,C107*2,FALSE))</f>
        <v>#REF!</v>
      </c>
      <c r="C107" s="2" t="e">
        <f>SUMIFS('物料分类表 R22'!#REF!,'物料分类表 R22'!$B$2:$B$1090,A107)</f>
        <v>#REF!</v>
      </c>
      <c r="D107" s="2" t="e">
        <f>IF(COUNT($A107)=0,"",IF(VLOOKUP($A107,'物料分类表 R22'!$B$2:$H$1090,D$3*2,FALSE)=0,D106,VLOOKUP($A107,'物料分类表 R22'!$B$2:$H$1090,D$3*2,FALSE)))</f>
        <v>#REF!</v>
      </c>
      <c r="E107" s="1" t="e">
        <f t="shared" ref="E107:E170" si="7">IF(COUNT($A107)=0,"",VLOOKUP(MID($D107,1,1),$P:$Q,2,FALSE))</f>
        <v>#REF!</v>
      </c>
      <c r="F107" s="1" t="e">
        <f t="shared" ref="F107:F170" si="8">IF(COUNT($A107)=0,"",VLOOKUP(MID($D107,1,2),$P:$Q,2,FALSE))</f>
        <v>#REF!</v>
      </c>
      <c r="G107" s="1" t="e">
        <f t="shared" ref="G107:G170" si="9">IF(COUNT($A107)=0,"",IF(C107=4,IF(COUNT($A107)=0,"",VLOOKUP(MID($D107,1,3),$P:$Q,2,FALSE)),""))</f>
        <v>#REF!</v>
      </c>
      <c r="P107" s="1" t="s">
        <v>2115</v>
      </c>
      <c r="Q107" s="2" t="s">
        <v>2122</v>
      </c>
    </row>
    <row r="108" customHeight="1" spans="1:17">
      <c r="A108" s="1">
        <f>IF(MAX($A$2:A107)=$B$1,"",MAX($A$2:A107)+1)</f>
        <v>105</v>
      </c>
      <c r="B108" s="2" t="e">
        <f>IF(COUNT($A108)=0,"",VLOOKUP($A108,'物料分类表 R22'!$B$2:$H$1090,C108*2,FALSE))</f>
        <v>#REF!</v>
      </c>
      <c r="C108" s="2" t="e">
        <f>SUMIFS('物料分类表 R22'!#REF!,'物料分类表 R22'!$B$2:$B$1090,A108)</f>
        <v>#REF!</v>
      </c>
      <c r="D108" s="2" t="e">
        <f>IF(COUNT($A108)=0,"",IF(VLOOKUP($A108,'物料分类表 R22'!$B$2:$H$1090,D$3*2,FALSE)=0,D107,VLOOKUP($A108,'物料分类表 R22'!$B$2:$H$1090,D$3*2,FALSE)))</f>
        <v>#REF!</v>
      </c>
      <c r="E108" s="1" t="e">
        <f t="shared" si="7"/>
        <v>#REF!</v>
      </c>
      <c r="F108" s="1" t="e">
        <f t="shared" si="8"/>
        <v>#REF!</v>
      </c>
      <c r="G108" s="1" t="e">
        <f t="shared" si="9"/>
        <v>#REF!</v>
      </c>
      <c r="P108" s="1" t="s">
        <v>2115</v>
      </c>
      <c r="Q108" s="2" t="s">
        <v>2123</v>
      </c>
    </row>
    <row r="109" customHeight="1" spans="1:17">
      <c r="A109" s="1">
        <f>IF(MAX($A$2:A108)=$B$1,"",MAX($A$2:A108)+1)</f>
        <v>106</v>
      </c>
      <c r="B109" s="2" t="e">
        <f>IF(COUNT($A109)=0,"",VLOOKUP($A109,'物料分类表 R22'!$B$2:$H$1090,C109*2,FALSE))</f>
        <v>#REF!</v>
      </c>
      <c r="C109" s="2" t="e">
        <f>SUMIFS('物料分类表 R22'!#REF!,'物料分类表 R22'!$B$2:$B$1090,A109)</f>
        <v>#REF!</v>
      </c>
      <c r="D109" s="2" t="e">
        <f>IF(COUNT($A109)=0,"",IF(VLOOKUP($A109,'物料分类表 R22'!$B$2:$H$1090,D$3*2,FALSE)=0,D108,VLOOKUP($A109,'物料分类表 R22'!$B$2:$H$1090,D$3*2,FALSE)))</f>
        <v>#REF!</v>
      </c>
      <c r="E109" s="1" t="e">
        <f t="shared" si="7"/>
        <v>#REF!</v>
      </c>
      <c r="F109" s="1" t="e">
        <f t="shared" si="8"/>
        <v>#REF!</v>
      </c>
      <c r="G109" s="1" t="e">
        <f t="shared" si="9"/>
        <v>#REF!</v>
      </c>
      <c r="P109" s="1" t="s">
        <v>2124</v>
      </c>
      <c r="Q109" s="2" t="s">
        <v>309</v>
      </c>
    </row>
    <row r="110" customHeight="1" spans="1:17">
      <c r="A110" s="1">
        <f>IF(MAX($A$2:A109)=$B$1,"",MAX($A$2:A109)+1)</f>
        <v>107</v>
      </c>
      <c r="B110" s="2" t="e">
        <f>IF(COUNT($A110)=0,"",VLOOKUP($A110,'物料分类表 R22'!$B$2:$H$1090,C110*2,FALSE))</f>
        <v>#REF!</v>
      </c>
      <c r="C110" s="2" t="e">
        <f>SUMIFS('物料分类表 R22'!#REF!,'物料分类表 R22'!$B$2:$B$1090,A110)</f>
        <v>#REF!</v>
      </c>
      <c r="D110" s="2" t="e">
        <f>IF(COUNT($A110)=0,"",IF(VLOOKUP($A110,'物料分类表 R22'!$B$2:$H$1090,D$3*2,FALSE)=0,D109,VLOOKUP($A110,'物料分类表 R22'!$B$2:$H$1090,D$3*2,FALSE)))</f>
        <v>#REF!</v>
      </c>
      <c r="E110" s="1" t="e">
        <f t="shared" si="7"/>
        <v>#REF!</v>
      </c>
      <c r="F110" s="1" t="e">
        <f t="shared" si="8"/>
        <v>#REF!</v>
      </c>
      <c r="G110" s="1" t="e">
        <f t="shared" si="9"/>
        <v>#REF!</v>
      </c>
      <c r="P110" s="1" t="s">
        <v>2124</v>
      </c>
      <c r="Q110" s="2" t="s">
        <v>2125</v>
      </c>
    </row>
    <row r="111" customHeight="1" spans="1:17">
      <c r="A111" s="1">
        <f>IF(MAX($A$2:A110)=$B$1,"",MAX($A$2:A110)+1)</f>
        <v>108</v>
      </c>
      <c r="B111" s="2" t="e">
        <f>IF(COUNT($A111)=0,"",VLOOKUP($A111,'物料分类表 R22'!$B$2:$H$1090,C111*2,FALSE))</f>
        <v>#REF!</v>
      </c>
      <c r="C111" s="2" t="e">
        <f>SUMIFS('物料分类表 R22'!#REF!,'物料分类表 R22'!$B$2:$B$1090,A111)</f>
        <v>#REF!</v>
      </c>
      <c r="D111" s="2" t="e">
        <f>IF(COUNT($A111)=0,"",IF(VLOOKUP($A111,'物料分类表 R22'!$B$2:$H$1090,D$3*2,FALSE)=0,D110,VLOOKUP($A111,'物料分类表 R22'!$B$2:$H$1090,D$3*2,FALSE)))</f>
        <v>#REF!</v>
      </c>
      <c r="E111" s="1" t="e">
        <f t="shared" si="7"/>
        <v>#REF!</v>
      </c>
      <c r="F111" s="1" t="e">
        <f t="shared" si="8"/>
        <v>#REF!</v>
      </c>
      <c r="G111" s="1" t="e">
        <f t="shared" si="9"/>
        <v>#REF!</v>
      </c>
      <c r="P111" s="1" t="s">
        <v>2124</v>
      </c>
      <c r="Q111" s="2" t="s">
        <v>311</v>
      </c>
    </row>
    <row r="112" customHeight="1" spans="1:17">
      <c r="A112" s="1">
        <f>IF(MAX($A$2:A111)=$B$1,"",MAX($A$2:A111)+1)</f>
        <v>109</v>
      </c>
      <c r="B112" s="2" t="e">
        <f>IF(COUNT($A112)=0,"",VLOOKUP($A112,'物料分类表 R22'!$B$2:$H$1090,C112*2,FALSE))</f>
        <v>#REF!</v>
      </c>
      <c r="C112" s="2" t="e">
        <f>SUMIFS('物料分类表 R22'!#REF!,'物料分类表 R22'!$B$2:$B$1090,A112)</f>
        <v>#REF!</v>
      </c>
      <c r="D112" s="2" t="e">
        <f>IF(COUNT($A112)=0,"",IF(VLOOKUP($A112,'物料分类表 R22'!$B$2:$H$1090,D$3*2,FALSE)=0,D111,VLOOKUP($A112,'物料分类表 R22'!$B$2:$H$1090,D$3*2,FALSE)))</f>
        <v>#REF!</v>
      </c>
      <c r="E112" s="1" t="e">
        <f t="shared" si="7"/>
        <v>#REF!</v>
      </c>
      <c r="F112" s="1" t="e">
        <f t="shared" si="8"/>
        <v>#REF!</v>
      </c>
      <c r="G112" s="1" t="e">
        <f t="shared" si="9"/>
        <v>#REF!</v>
      </c>
      <c r="P112" s="1" t="s">
        <v>2124</v>
      </c>
      <c r="Q112" s="2" t="s">
        <v>313</v>
      </c>
    </row>
    <row r="113" customHeight="1" spans="1:17">
      <c r="A113" s="1">
        <f>IF(MAX($A$2:A112)=$B$1,"",MAX($A$2:A112)+1)</f>
        <v>110</v>
      </c>
      <c r="B113" s="2" t="e">
        <f>IF(COUNT($A113)=0,"",VLOOKUP($A113,'物料分类表 R22'!$B$2:$H$1090,C113*2,FALSE))</f>
        <v>#REF!</v>
      </c>
      <c r="C113" s="2" t="e">
        <f>SUMIFS('物料分类表 R22'!#REF!,'物料分类表 R22'!$B$2:$B$1090,A113)</f>
        <v>#REF!</v>
      </c>
      <c r="D113" s="2" t="e">
        <f>IF(COUNT($A113)=0,"",IF(VLOOKUP($A113,'物料分类表 R22'!$B$2:$H$1090,D$3*2,FALSE)=0,D112,VLOOKUP($A113,'物料分类表 R22'!$B$2:$H$1090,D$3*2,FALSE)))</f>
        <v>#REF!</v>
      </c>
      <c r="E113" s="1" t="e">
        <f t="shared" si="7"/>
        <v>#REF!</v>
      </c>
      <c r="F113" s="1" t="e">
        <f t="shared" si="8"/>
        <v>#REF!</v>
      </c>
      <c r="G113" s="1" t="e">
        <f t="shared" si="9"/>
        <v>#REF!</v>
      </c>
      <c r="P113" s="1" t="s">
        <v>2124</v>
      </c>
      <c r="Q113" s="2" t="s">
        <v>1472</v>
      </c>
    </row>
    <row r="114" customHeight="1" spans="1:17">
      <c r="A114" s="1">
        <f>IF(MAX($A$2:A113)=$B$1,"",MAX($A$2:A113)+1)</f>
        <v>111</v>
      </c>
      <c r="B114" s="2" t="e">
        <f>IF(COUNT($A114)=0,"",VLOOKUP($A114,'物料分类表 R22'!$B$2:$H$1090,C114*2,FALSE))</f>
        <v>#REF!</v>
      </c>
      <c r="C114" s="2" t="e">
        <f>SUMIFS('物料分类表 R22'!#REF!,'物料分类表 R22'!$B$2:$B$1090,A114)</f>
        <v>#REF!</v>
      </c>
      <c r="D114" s="2" t="e">
        <f>IF(COUNT($A114)=0,"",IF(VLOOKUP($A114,'物料分类表 R22'!$B$2:$H$1090,D$3*2,FALSE)=0,D113,VLOOKUP($A114,'物料分类表 R22'!$B$2:$H$1090,D$3*2,FALSE)))</f>
        <v>#REF!</v>
      </c>
      <c r="E114" s="1" t="e">
        <f t="shared" si="7"/>
        <v>#REF!</v>
      </c>
      <c r="F114" s="1" t="e">
        <f t="shared" si="8"/>
        <v>#REF!</v>
      </c>
      <c r="G114" s="1" t="e">
        <f t="shared" si="9"/>
        <v>#REF!</v>
      </c>
      <c r="P114" s="1" t="s">
        <v>2124</v>
      </c>
      <c r="Q114" s="2" t="s">
        <v>317</v>
      </c>
    </row>
    <row r="115" customHeight="1" spans="1:17">
      <c r="A115" s="1">
        <f>IF(MAX($A$2:A114)=$B$1,"",MAX($A$2:A114)+1)</f>
        <v>112</v>
      </c>
      <c r="B115" s="2" t="e">
        <f>IF(COUNT($A115)=0,"",VLOOKUP($A115,'物料分类表 R22'!$B$2:$H$1090,C115*2,FALSE))</f>
        <v>#REF!</v>
      </c>
      <c r="C115" s="2" t="e">
        <f>SUMIFS('物料分类表 R22'!#REF!,'物料分类表 R22'!$B$2:$B$1090,A115)</f>
        <v>#REF!</v>
      </c>
      <c r="D115" s="2" t="e">
        <f>IF(COUNT($A115)=0,"",IF(VLOOKUP($A115,'物料分类表 R22'!$B$2:$H$1090,D$3*2,FALSE)=0,D114,VLOOKUP($A115,'物料分类表 R22'!$B$2:$H$1090,D$3*2,FALSE)))</f>
        <v>#REF!</v>
      </c>
      <c r="E115" s="1" t="e">
        <f t="shared" si="7"/>
        <v>#REF!</v>
      </c>
      <c r="F115" s="1" t="e">
        <f t="shared" si="8"/>
        <v>#REF!</v>
      </c>
      <c r="G115" s="1" t="e">
        <f t="shared" si="9"/>
        <v>#REF!</v>
      </c>
      <c r="P115" s="1" t="s">
        <v>2124</v>
      </c>
      <c r="Q115" s="2" t="s">
        <v>2126</v>
      </c>
    </row>
    <row r="116" customHeight="1" spans="1:17">
      <c r="A116" s="1">
        <f>IF(MAX($A$2:A115)=$B$1,"",MAX($A$2:A115)+1)</f>
        <v>113</v>
      </c>
      <c r="B116" s="2" t="e">
        <f>IF(COUNT($A116)=0,"",VLOOKUP($A116,'物料分类表 R22'!$B$2:$H$1090,C116*2,FALSE))</f>
        <v>#REF!</v>
      </c>
      <c r="C116" s="2" t="e">
        <f>SUMIFS('物料分类表 R22'!#REF!,'物料分类表 R22'!$B$2:$B$1090,A116)</f>
        <v>#REF!</v>
      </c>
      <c r="D116" s="2" t="e">
        <f>IF(COUNT($A116)=0,"",IF(VLOOKUP($A116,'物料分类表 R22'!$B$2:$H$1090,D$3*2,FALSE)=0,D115,VLOOKUP($A116,'物料分类表 R22'!$B$2:$H$1090,D$3*2,FALSE)))</f>
        <v>#REF!</v>
      </c>
      <c r="E116" s="1" t="e">
        <f t="shared" si="7"/>
        <v>#REF!</v>
      </c>
      <c r="F116" s="1" t="e">
        <f t="shared" si="8"/>
        <v>#REF!</v>
      </c>
      <c r="G116" s="1" t="e">
        <f t="shared" si="9"/>
        <v>#REF!</v>
      </c>
      <c r="P116" s="1" t="s">
        <v>2124</v>
      </c>
      <c r="Q116" s="2" t="s">
        <v>321</v>
      </c>
    </row>
    <row r="117" customHeight="1" spans="1:17">
      <c r="A117" s="1">
        <f>IF(MAX($A$2:A116)=$B$1,"",MAX($A$2:A116)+1)</f>
        <v>114</v>
      </c>
      <c r="B117" s="2" t="e">
        <f>IF(COUNT($A117)=0,"",VLOOKUP($A117,'物料分类表 R22'!$B$2:$H$1090,C117*2,FALSE))</f>
        <v>#REF!</v>
      </c>
      <c r="C117" s="2" t="e">
        <f>SUMIFS('物料分类表 R22'!#REF!,'物料分类表 R22'!$B$2:$B$1090,A117)</f>
        <v>#REF!</v>
      </c>
      <c r="D117" s="2" t="e">
        <f>IF(COUNT($A117)=0,"",IF(VLOOKUP($A117,'物料分类表 R22'!$B$2:$H$1090,D$3*2,FALSE)=0,D116,VLOOKUP($A117,'物料分类表 R22'!$B$2:$H$1090,D$3*2,FALSE)))</f>
        <v>#REF!</v>
      </c>
      <c r="E117" s="1" t="e">
        <f t="shared" si="7"/>
        <v>#REF!</v>
      </c>
      <c r="F117" s="1" t="e">
        <f t="shared" si="8"/>
        <v>#REF!</v>
      </c>
      <c r="G117" s="1" t="e">
        <f t="shared" si="9"/>
        <v>#REF!</v>
      </c>
      <c r="P117" s="1" t="s">
        <v>2124</v>
      </c>
      <c r="Q117" s="2" t="s">
        <v>323</v>
      </c>
    </row>
    <row r="118" customHeight="1" spans="1:17">
      <c r="A118" s="1">
        <f>IF(MAX($A$2:A117)=$B$1,"",MAX($A$2:A117)+1)</f>
        <v>115</v>
      </c>
      <c r="B118" s="2" t="e">
        <f>IF(COUNT($A118)=0,"",VLOOKUP($A118,'物料分类表 R22'!$B$2:$H$1090,C118*2,FALSE))</f>
        <v>#REF!</v>
      </c>
      <c r="C118" s="2" t="e">
        <f>SUMIFS('物料分类表 R22'!#REF!,'物料分类表 R22'!$B$2:$B$1090,A118)</f>
        <v>#REF!</v>
      </c>
      <c r="D118" s="2" t="e">
        <f>IF(COUNT($A118)=0,"",IF(VLOOKUP($A118,'物料分类表 R22'!$B$2:$H$1090,D$3*2,FALSE)=0,D117,VLOOKUP($A118,'物料分类表 R22'!$B$2:$H$1090,D$3*2,FALSE)))</f>
        <v>#REF!</v>
      </c>
      <c r="E118" s="1" t="e">
        <f t="shared" si="7"/>
        <v>#REF!</v>
      </c>
      <c r="F118" s="1" t="e">
        <f t="shared" si="8"/>
        <v>#REF!</v>
      </c>
      <c r="G118" s="1" t="e">
        <f t="shared" si="9"/>
        <v>#REF!</v>
      </c>
      <c r="P118" s="1" t="s">
        <v>2124</v>
      </c>
      <c r="Q118" s="2" t="s">
        <v>325</v>
      </c>
    </row>
    <row r="119" customHeight="1" spans="1:17">
      <c r="A119" s="1">
        <f>IF(MAX($A$2:A118)=$B$1,"",MAX($A$2:A118)+1)</f>
        <v>116</v>
      </c>
      <c r="B119" s="2" t="e">
        <f>IF(COUNT($A119)=0,"",VLOOKUP($A119,'物料分类表 R22'!$B$2:$H$1090,C119*2,FALSE))</f>
        <v>#REF!</v>
      </c>
      <c r="C119" s="2" t="e">
        <f>SUMIFS('物料分类表 R22'!#REF!,'物料分类表 R22'!$B$2:$B$1090,A119)</f>
        <v>#REF!</v>
      </c>
      <c r="D119" s="2" t="e">
        <f>IF(COUNT($A119)=0,"",IF(VLOOKUP($A119,'物料分类表 R22'!$B$2:$H$1090,D$3*2,FALSE)=0,D118,VLOOKUP($A119,'物料分类表 R22'!$B$2:$H$1090,D$3*2,FALSE)))</f>
        <v>#REF!</v>
      </c>
      <c r="E119" s="1" t="e">
        <f t="shared" si="7"/>
        <v>#REF!</v>
      </c>
      <c r="F119" s="1" t="e">
        <f t="shared" si="8"/>
        <v>#REF!</v>
      </c>
      <c r="G119" s="1" t="e">
        <f t="shared" si="9"/>
        <v>#REF!</v>
      </c>
      <c r="P119" s="1" t="s">
        <v>2124</v>
      </c>
      <c r="Q119" s="2" t="s">
        <v>327</v>
      </c>
    </row>
    <row r="120" customHeight="1" spans="1:17">
      <c r="A120" s="1">
        <f>IF(MAX($A$2:A119)=$B$1,"",MAX($A$2:A119)+1)</f>
        <v>117</v>
      </c>
      <c r="B120" s="2" t="e">
        <f>IF(COUNT($A120)=0,"",VLOOKUP($A120,'物料分类表 R22'!$B$2:$H$1090,C120*2,FALSE))</f>
        <v>#REF!</v>
      </c>
      <c r="C120" s="2" t="e">
        <f>SUMIFS('物料分类表 R22'!#REF!,'物料分类表 R22'!$B$2:$B$1090,A120)</f>
        <v>#REF!</v>
      </c>
      <c r="D120" s="2" t="e">
        <f>IF(COUNT($A120)=0,"",IF(VLOOKUP($A120,'物料分类表 R22'!$B$2:$H$1090,D$3*2,FALSE)=0,D119,VLOOKUP($A120,'物料分类表 R22'!$B$2:$H$1090,D$3*2,FALSE)))</f>
        <v>#REF!</v>
      </c>
      <c r="E120" s="1" t="e">
        <f t="shared" si="7"/>
        <v>#REF!</v>
      </c>
      <c r="F120" s="1" t="e">
        <f t="shared" si="8"/>
        <v>#REF!</v>
      </c>
      <c r="G120" s="1" t="e">
        <f t="shared" si="9"/>
        <v>#REF!</v>
      </c>
      <c r="P120" s="1" t="s">
        <v>2124</v>
      </c>
      <c r="Q120" s="2" t="s">
        <v>329</v>
      </c>
    </row>
    <row r="121" customHeight="1" spans="1:17">
      <c r="A121" s="1">
        <f>IF(MAX($A$2:A120)=$B$1,"",MAX($A$2:A120)+1)</f>
        <v>118</v>
      </c>
      <c r="B121" s="2" t="e">
        <f>IF(COUNT($A121)=0,"",VLOOKUP($A121,'物料分类表 R22'!$B$2:$H$1090,C121*2,FALSE))</f>
        <v>#REF!</v>
      </c>
      <c r="C121" s="2" t="e">
        <f>SUMIFS('物料分类表 R22'!#REF!,'物料分类表 R22'!$B$2:$B$1090,A121)</f>
        <v>#REF!</v>
      </c>
      <c r="D121" s="2" t="e">
        <f>IF(COUNT($A121)=0,"",IF(VLOOKUP($A121,'物料分类表 R22'!$B$2:$H$1090,D$3*2,FALSE)=0,D120,VLOOKUP($A121,'物料分类表 R22'!$B$2:$H$1090,D$3*2,FALSE)))</f>
        <v>#REF!</v>
      </c>
      <c r="E121" s="1" t="e">
        <f t="shared" si="7"/>
        <v>#REF!</v>
      </c>
      <c r="F121" s="1" t="e">
        <f t="shared" si="8"/>
        <v>#REF!</v>
      </c>
      <c r="G121" s="1" t="e">
        <f t="shared" si="9"/>
        <v>#REF!</v>
      </c>
      <c r="P121" s="1" t="s">
        <v>2124</v>
      </c>
      <c r="Q121" s="2" t="s">
        <v>331</v>
      </c>
    </row>
    <row r="122" customHeight="1" spans="1:17">
      <c r="A122" s="1">
        <f>IF(MAX($A$2:A121)=$B$1,"",MAX($A$2:A121)+1)</f>
        <v>119</v>
      </c>
      <c r="B122" s="2" t="e">
        <f>IF(COUNT($A122)=0,"",VLOOKUP($A122,'物料分类表 R22'!$B$2:$H$1090,C122*2,FALSE))</f>
        <v>#REF!</v>
      </c>
      <c r="C122" s="2" t="e">
        <f>SUMIFS('物料分类表 R22'!#REF!,'物料分类表 R22'!$B$2:$B$1090,A122)</f>
        <v>#REF!</v>
      </c>
      <c r="D122" s="2" t="e">
        <f>IF(COUNT($A122)=0,"",IF(VLOOKUP($A122,'物料分类表 R22'!$B$2:$H$1090,D$3*2,FALSE)=0,D121,VLOOKUP($A122,'物料分类表 R22'!$B$2:$H$1090,D$3*2,FALSE)))</f>
        <v>#REF!</v>
      </c>
      <c r="E122" s="1" t="e">
        <f t="shared" si="7"/>
        <v>#REF!</v>
      </c>
      <c r="F122" s="1" t="e">
        <f t="shared" si="8"/>
        <v>#REF!</v>
      </c>
      <c r="G122" s="1" t="e">
        <f t="shared" si="9"/>
        <v>#REF!</v>
      </c>
      <c r="P122" s="1" t="s">
        <v>2124</v>
      </c>
      <c r="Q122" s="2" t="s">
        <v>2127</v>
      </c>
    </row>
    <row r="123" customHeight="1" spans="1:17">
      <c r="A123" s="1">
        <f>IF(MAX($A$2:A122)=$B$1,"",MAX($A$2:A122)+1)</f>
        <v>120</v>
      </c>
      <c r="B123" s="2" t="e">
        <f>IF(COUNT($A123)=0,"",VLOOKUP($A123,'物料分类表 R22'!$B$2:$H$1090,C123*2,FALSE))</f>
        <v>#REF!</v>
      </c>
      <c r="C123" s="2" t="e">
        <f>SUMIFS('物料分类表 R22'!#REF!,'物料分类表 R22'!$B$2:$B$1090,A123)</f>
        <v>#REF!</v>
      </c>
      <c r="D123" s="2" t="e">
        <f>IF(COUNT($A123)=0,"",IF(VLOOKUP($A123,'物料分类表 R22'!$B$2:$H$1090,D$3*2,FALSE)=0,D122,VLOOKUP($A123,'物料分类表 R22'!$B$2:$H$1090,D$3*2,FALSE)))</f>
        <v>#REF!</v>
      </c>
      <c r="E123" s="1" t="e">
        <f t="shared" si="7"/>
        <v>#REF!</v>
      </c>
      <c r="F123" s="1" t="e">
        <f t="shared" si="8"/>
        <v>#REF!</v>
      </c>
      <c r="G123" s="1" t="e">
        <f t="shared" si="9"/>
        <v>#REF!</v>
      </c>
      <c r="P123" s="1" t="s">
        <v>2124</v>
      </c>
      <c r="Q123" s="2" t="s">
        <v>2128</v>
      </c>
    </row>
    <row r="124" customHeight="1" spans="1:17">
      <c r="A124" s="1">
        <f>IF(MAX($A$2:A123)=$B$1,"",MAX($A$2:A123)+1)</f>
        <v>121</v>
      </c>
      <c r="B124" s="2" t="e">
        <f>IF(COUNT($A124)=0,"",VLOOKUP($A124,'物料分类表 R22'!$B$2:$H$1090,C124*2,FALSE))</f>
        <v>#REF!</v>
      </c>
      <c r="C124" s="2" t="e">
        <f>SUMIFS('物料分类表 R22'!#REF!,'物料分类表 R22'!$B$2:$B$1090,A124)</f>
        <v>#REF!</v>
      </c>
      <c r="D124" s="2" t="e">
        <f>IF(COUNT($A124)=0,"",IF(VLOOKUP($A124,'物料分类表 R22'!$B$2:$H$1090,D$3*2,FALSE)=0,D123,VLOOKUP($A124,'物料分类表 R22'!$B$2:$H$1090,D$3*2,FALSE)))</f>
        <v>#REF!</v>
      </c>
      <c r="E124" s="1" t="e">
        <f t="shared" si="7"/>
        <v>#REF!</v>
      </c>
      <c r="F124" s="1" t="e">
        <f t="shared" si="8"/>
        <v>#REF!</v>
      </c>
      <c r="G124" s="1" t="e">
        <f t="shared" si="9"/>
        <v>#REF!</v>
      </c>
      <c r="P124" s="1" t="s">
        <v>2124</v>
      </c>
      <c r="Q124" s="2" t="s">
        <v>2129</v>
      </c>
    </row>
    <row r="125" customHeight="1" spans="1:17">
      <c r="A125" s="1">
        <f>IF(MAX($A$2:A124)=$B$1,"",MAX($A$2:A124)+1)</f>
        <v>122</v>
      </c>
      <c r="B125" s="2" t="e">
        <f>IF(COUNT($A125)=0,"",VLOOKUP($A125,'物料分类表 R22'!$B$2:$H$1090,C125*2,FALSE))</f>
        <v>#REF!</v>
      </c>
      <c r="C125" s="2" t="e">
        <f>SUMIFS('物料分类表 R22'!#REF!,'物料分类表 R22'!$B$2:$B$1090,A125)</f>
        <v>#REF!</v>
      </c>
      <c r="D125" s="2" t="e">
        <f>IF(COUNT($A125)=0,"",IF(VLOOKUP($A125,'物料分类表 R22'!$B$2:$H$1090,D$3*2,FALSE)=0,D124,VLOOKUP($A125,'物料分类表 R22'!$B$2:$H$1090,D$3*2,FALSE)))</f>
        <v>#REF!</v>
      </c>
      <c r="E125" s="1" t="e">
        <f t="shared" si="7"/>
        <v>#REF!</v>
      </c>
      <c r="F125" s="1" t="e">
        <f t="shared" si="8"/>
        <v>#REF!</v>
      </c>
      <c r="G125" s="1" t="e">
        <f t="shared" si="9"/>
        <v>#REF!</v>
      </c>
      <c r="P125" s="1" t="s">
        <v>2124</v>
      </c>
      <c r="Q125" s="2" t="s">
        <v>2130</v>
      </c>
    </row>
    <row r="126" customHeight="1" spans="1:17">
      <c r="A126" s="1">
        <f>IF(MAX($A$2:A125)=$B$1,"",MAX($A$2:A125)+1)</f>
        <v>123</v>
      </c>
      <c r="B126" s="2" t="e">
        <f>IF(COUNT($A126)=0,"",VLOOKUP($A126,'物料分类表 R22'!$B$2:$H$1090,C126*2,FALSE))</f>
        <v>#REF!</v>
      </c>
      <c r="C126" s="2" t="e">
        <f>SUMIFS('物料分类表 R22'!#REF!,'物料分类表 R22'!$B$2:$B$1090,A126)</f>
        <v>#REF!</v>
      </c>
      <c r="D126" s="2" t="e">
        <f>IF(COUNT($A126)=0,"",IF(VLOOKUP($A126,'物料分类表 R22'!$B$2:$H$1090,D$3*2,FALSE)=0,D125,VLOOKUP($A126,'物料分类表 R22'!$B$2:$H$1090,D$3*2,FALSE)))</f>
        <v>#REF!</v>
      </c>
      <c r="E126" s="1" t="e">
        <f t="shared" si="7"/>
        <v>#REF!</v>
      </c>
      <c r="F126" s="1" t="e">
        <f t="shared" si="8"/>
        <v>#REF!</v>
      </c>
      <c r="G126" s="1" t="e">
        <f t="shared" si="9"/>
        <v>#REF!</v>
      </c>
      <c r="P126" s="1" t="s">
        <v>2124</v>
      </c>
      <c r="Q126" s="2" t="s">
        <v>2131</v>
      </c>
    </row>
    <row r="127" customHeight="1" spans="1:17">
      <c r="A127" s="1">
        <f>IF(MAX($A$2:A126)=$B$1,"",MAX($A$2:A126)+1)</f>
        <v>124</v>
      </c>
      <c r="B127" s="2" t="e">
        <f>IF(COUNT($A127)=0,"",VLOOKUP($A127,'物料分类表 R22'!$B$2:$H$1090,C127*2,FALSE))</f>
        <v>#REF!</v>
      </c>
      <c r="C127" s="2" t="e">
        <f>SUMIFS('物料分类表 R22'!#REF!,'物料分类表 R22'!$B$2:$B$1090,A127)</f>
        <v>#REF!</v>
      </c>
      <c r="D127" s="2" t="e">
        <f>IF(COUNT($A127)=0,"",IF(VLOOKUP($A127,'物料分类表 R22'!$B$2:$H$1090,D$3*2,FALSE)=0,D126,VLOOKUP($A127,'物料分类表 R22'!$B$2:$H$1090,D$3*2,FALSE)))</f>
        <v>#REF!</v>
      </c>
      <c r="E127" s="1" t="e">
        <f t="shared" si="7"/>
        <v>#REF!</v>
      </c>
      <c r="F127" s="1" t="e">
        <f t="shared" si="8"/>
        <v>#REF!</v>
      </c>
      <c r="G127" s="1" t="e">
        <f t="shared" si="9"/>
        <v>#REF!</v>
      </c>
      <c r="P127" s="1" t="s">
        <v>2124</v>
      </c>
      <c r="Q127" s="2" t="s">
        <v>339</v>
      </c>
    </row>
    <row r="128" customHeight="1" spans="1:17">
      <c r="A128" s="1">
        <f>IF(MAX($A$2:A127)=$B$1,"",MAX($A$2:A127)+1)</f>
        <v>125</v>
      </c>
      <c r="B128" s="2" t="e">
        <f>IF(COUNT($A128)=0,"",VLOOKUP($A128,'物料分类表 R22'!$B$2:$H$1090,C128*2,FALSE))</f>
        <v>#REF!</v>
      </c>
      <c r="C128" s="2" t="e">
        <f>SUMIFS('物料分类表 R22'!#REF!,'物料分类表 R22'!$B$2:$B$1090,A128)</f>
        <v>#REF!</v>
      </c>
      <c r="D128" s="2" t="e">
        <f>IF(COUNT($A128)=0,"",IF(VLOOKUP($A128,'物料分类表 R22'!$B$2:$H$1090,D$3*2,FALSE)=0,D127,VLOOKUP($A128,'物料分类表 R22'!$B$2:$H$1090,D$3*2,FALSE)))</f>
        <v>#REF!</v>
      </c>
      <c r="E128" s="1" t="e">
        <f t="shared" si="7"/>
        <v>#REF!</v>
      </c>
      <c r="F128" s="1" t="e">
        <f t="shared" si="8"/>
        <v>#REF!</v>
      </c>
      <c r="G128" s="1" t="e">
        <f t="shared" si="9"/>
        <v>#REF!</v>
      </c>
      <c r="P128" s="1" t="s">
        <v>2124</v>
      </c>
      <c r="Q128" s="2" t="s">
        <v>2132</v>
      </c>
    </row>
    <row r="129" customHeight="1" spans="1:17">
      <c r="A129" s="1">
        <f>IF(MAX($A$2:A128)=$B$1,"",MAX($A$2:A128)+1)</f>
        <v>126</v>
      </c>
      <c r="B129" s="2" t="e">
        <f>IF(COUNT($A129)=0,"",VLOOKUP($A129,'物料分类表 R22'!$B$2:$H$1090,C129*2,FALSE))</f>
        <v>#REF!</v>
      </c>
      <c r="C129" s="2" t="e">
        <f>SUMIFS('物料分类表 R22'!#REF!,'物料分类表 R22'!$B$2:$B$1090,A129)</f>
        <v>#REF!</v>
      </c>
      <c r="D129" s="2" t="e">
        <f>IF(COUNT($A129)=0,"",IF(VLOOKUP($A129,'物料分类表 R22'!$B$2:$H$1090,D$3*2,FALSE)=0,D128,VLOOKUP($A129,'物料分类表 R22'!$B$2:$H$1090,D$3*2,FALSE)))</f>
        <v>#REF!</v>
      </c>
      <c r="E129" s="1" t="e">
        <f t="shared" si="7"/>
        <v>#REF!</v>
      </c>
      <c r="F129" s="1" t="e">
        <f t="shared" si="8"/>
        <v>#REF!</v>
      </c>
      <c r="G129" s="1" t="e">
        <f t="shared" si="9"/>
        <v>#REF!</v>
      </c>
      <c r="P129" s="1" t="s">
        <v>2124</v>
      </c>
      <c r="Q129" s="2" t="s">
        <v>341</v>
      </c>
    </row>
    <row r="130" customHeight="1" spans="1:17">
      <c r="A130" s="1">
        <f>IF(MAX($A$2:A129)=$B$1,"",MAX($A$2:A129)+1)</f>
        <v>127</v>
      </c>
      <c r="B130" s="2" t="e">
        <f>IF(COUNT($A130)=0,"",VLOOKUP($A130,'物料分类表 R22'!$B$2:$H$1090,C130*2,FALSE))</f>
        <v>#REF!</v>
      </c>
      <c r="C130" s="2" t="e">
        <f>SUMIFS('物料分类表 R22'!#REF!,'物料分类表 R22'!$B$2:$B$1090,A130)</f>
        <v>#REF!</v>
      </c>
      <c r="D130" s="2" t="e">
        <f>IF(COUNT($A130)=0,"",IF(VLOOKUP($A130,'物料分类表 R22'!$B$2:$H$1090,D$3*2,FALSE)=0,D129,VLOOKUP($A130,'物料分类表 R22'!$B$2:$H$1090,D$3*2,FALSE)))</f>
        <v>#REF!</v>
      </c>
      <c r="E130" s="1" t="e">
        <f t="shared" si="7"/>
        <v>#REF!</v>
      </c>
      <c r="F130" s="1" t="e">
        <f t="shared" si="8"/>
        <v>#REF!</v>
      </c>
      <c r="G130" s="1" t="e">
        <f t="shared" si="9"/>
        <v>#REF!</v>
      </c>
      <c r="P130" s="1" t="s">
        <v>2124</v>
      </c>
      <c r="Q130" s="2" t="s">
        <v>343</v>
      </c>
    </row>
    <row r="131" customHeight="1" spans="1:17">
      <c r="A131" s="1">
        <f>IF(MAX($A$2:A130)=$B$1,"",MAX($A$2:A130)+1)</f>
        <v>128</v>
      </c>
      <c r="B131" s="2" t="e">
        <f>IF(COUNT($A131)=0,"",VLOOKUP($A131,'物料分类表 R22'!$B$2:$H$1090,C131*2,FALSE))</f>
        <v>#REF!</v>
      </c>
      <c r="C131" s="2" t="e">
        <f>SUMIFS('物料分类表 R22'!#REF!,'物料分类表 R22'!$B$2:$B$1090,A131)</f>
        <v>#REF!</v>
      </c>
      <c r="D131" s="2" t="e">
        <f>IF(COUNT($A131)=0,"",IF(VLOOKUP($A131,'物料分类表 R22'!$B$2:$H$1090,D$3*2,FALSE)=0,D130,VLOOKUP($A131,'物料分类表 R22'!$B$2:$H$1090,D$3*2,FALSE)))</f>
        <v>#REF!</v>
      </c>
      <c r="E131" s="1" t="e">
        <f t="shared" si="7"/>
        <v>#REF!</v>
      </c>
      <c r="F131" s="1" t="e">
        <f t="shared" si="8"/>
        <v>#REF!</v>
      </c>
      <c r="G131" s="1" t="e">
        <f t="shared" si="9"/>
        <v>#REF!</v>
      </c>
      <c r="P131" s="1" t="s">
        <v>2124</v>
      </c>
      <c r="Q131" s="2" t="s">
        <v>345</v>
      </c>
    </row>
    <row r="132" customHeight="1" spans="1:17">
      <c r="A132" s="1">
        <f>IF(MAX($A$2:A131)=$B$1,"",MAX($A$2:A131)+1)</f>
        <v>129</v>
      </c>
      <c r="B132" s="2" t="e">
        <f>IF(COUNT($A132)=0,"",VLOOKUP($A132,'物料分类表 R22'!$B$2:$H$1090,C132*2,FALSE))</f>
        <v>#REF!</v>
      </c>
      <c r="C132" s="2" t="e">
        <f>SUMIFS('物料分类表 R22'!#REF!,'物料分类表 R22'!$B$2:$B$1090,A132)</f>
        <v>#REF!</v>
      </c>
      <c r="D132" s="2" t="e">
        <f>IF(COUNT($A132)=0,"",IF(VLOOKUP($A132,'物料分类表 R22'!$B$2:$H$1090,D$3*2,FALSE)=0,D131,VLOOKUP($A132,'物料分类表 R22'!$B$2:$H$1090,D$3*2,FALSE)))</f>
        <v>#REF!</v>
      </c>
      <c r="E132" s="1" t="e">
        <f t="shared" si="7"/>
        <v>#REF!</v>
      </c>
      <c r="F132" s="1" t="e">
        <f t="shared" si="8"/>
        <v>#REF!</v>
      </c>
      <c r="G132" s="1" t="e">
        <f t="shared" si="9"/>
        <v>#REF!</v>
      </c>
      <c r="P132" s="1" t="s">
        <v>2124</v>
      </c>
      <c r="Q132" s="2" t="s">
        <v>347</v>
      </c>
    </row>
    <row r="133" customHeight="1" spans="1:17">
      <c r="A133" s="1">
        <f>IF(MAX($A$2:A132)=$B$1,"",MAX($A$2:A132)+1)</f>
        <v>130</v>
      </c>
      <c r="B133" s="2" t="e">
        <f>IF(COUNT($A133)=0,"",VLOOKUP($A133,'物料分类表 R22'!$B$2:$H$1090,C133*2,FALSE))</f>
        <v>#REF!</v>
      </c>
      <c r="C133" s="2" t="e">
        <f>SUMIFS('物料分类表 R22'!#REF!,'物料分类表 R22'!$B$2:$B$1090,A133)</f>
        <v>#REF!</v>
      </c>
      <c r="D133" s="2" t="e">
        <f>IF(COUNT($A133)=0,"",IF(VLOOKUP($A133,'物料分类表 R22'!$B$2:$H$1090,D$3*2,FALSE)=0,D132,VLOOKUP($A133,'物料分类表 R22'!$B$2:$H$1090,D$3*2,FALSE)))</f>
        <v>#REF!</v>
      </c>
      <c r="E133" s="1" t="e">
        <f t="shared" si="7"/>
        <v>#REF!</v>
      </c>
      <c r="F133" s="1" t="e">
        <f t="shared" si="8"/>
        <v>#REF!</v>
      </c>
      <c r="G133" s="1" t="e">
        <f t="shared" si="9"/>
        <v>#REF!</v>
      </c>
      <c r="P133" s="1" t="s">
        <v>2133</v>
      </c>
      <c r="Q133" s="2" t="s">
        <v>349</v>
      </c>
    </row>
    <row r="134" customHeight="1" spans="1:17">
      <c r="A134" s="1">
        <f>IF(MAX($A$2:A133)=$B$1,"",MAX($A$2:A133)+1)</f>
        <v>131</v>
      </c>
      <c r="B134" s="2" t="e">
        <f>IF(COUNT($A134)=0,"",VLOOKUP($A134,'物料分类表 R22'!$B$2:$H$1090,C134*2,FALSE))</f>
        <v>#REF!</v>
      </c>
      <c r="C134" s="2" t="e">
        <f>SUMIFS('物料分类表 R22'!#REF!,'物料分类表 R22'!$B$2:$B$1090,A134)</f>
        <v>#REF!</v>
      </c>
      <c r="D134" s="2" t="e">
        <f>IF(COUNT($A134)=0,"",IF(VLOOKUP($A134,'物料分类表 R22'!$B$2:$H$1090,D$3*2,FALSE)=0,D133,VLOOKUP($A134,'物料分类表 R22'!$B$2:$H$1090,D$3*2,FALSE)))</f>
        <v>#REF!</v>
      </c>
      <c r="E134" s="1" t="e">
        <f t="shared" si="7"/>
        <v>#REF!</v>
      </c>
      <c r="F134" s="1" t="e">
        <f t="shared" si="8"/>
        <v>#REF!</v>
      </c>
      <c r="G134" s="1" t="e">
        <f t="shared" si="9"/>
        <v>#REF!</v>
      </c>
      <c r="P134" s="1" t="s">
        <v>2133</v>
      </c>
      <c r="Q134" s="2" t="s">
        <v>351</v>
      </c>
    </row>
    <row r="135" customHeight="1" spans="1:17">
      <c r="A135" s="1">
        <f>IF(MAX($A$2:A134)=$B$1,"",MAX($A$2:A134)+1)</f>
        <v>132</v>
      </c>
      <c r="B135" s="2" t="e">
        <f>IF(COUNT($A135)=0,"",VLOOKUP($A135,'物料分类表 R22'!$B$2:$H$1090,C135*2,FALSE))</f>
        <v>#REF!</v>
      </c>
      <c r="C135" s="2" t="e">
        <f>SUMIFS('物料分类表 R22'!#REF!,'物料分类表 R22'!$B$2:$B$1090,A135)</f>
        <v>#REF!</v>
      </c>
      <c r="D135" s="2" t="e">
        <f>IF(COUNT($A135)=0,"",IF(VLOOKUP($A135,'物料分类表 R22'!$B$2:$H$1090,D$3*2,FALSE)=0,D134,VLOOKUP($A135,'物料分类表 R22'!$B$2:$H$1090,D$3*2,FALSE)))</f>
        <v>#REF!</v>
      </c>
      <c r="E135" s="1" t="e">
        <f t="shared" si="7"/>
        <v>#REF!</v>
      </c>
      <c r="F135" s="1" t="e">
        <f t="shared" si="8"/>
        <v>#REF!</v>
      </c>
      <c r="G135" s="1" t="e">
        <f t="shared" si="9"/>
        <v>#REF!</v>
      </c>
      <c r="P135" s="1" t="s">
        <v>2133</v>
      </c>
      <c r="Q135" s="2" t="s">
        <v>2134</v>
      </c>
    </row>
    <row r="136" customHeight="1" spans="1:17">
      <c r="A136" s="1">
        <f>IF(MAX($A$2:A135)=$B$1,"",MAX($A$2:A135)+1)</f>
        <v>133</v>
      </c>
      <c r="B136" s="2" t="e">
        <f>IF(COUNT($A136)=0,"",VLOOKUP($A136,'物料分类表 R22'!$B$2:$H$1090,C136*2,FALSE))</f>
        <v>#REF!</v>
      </c>
      <c r="C136" s="2" t="e">
        <f>SUMIFS('物料分类表 R22'!#REF!,'物料分类表 R22'!$B$2:$B$1090,A136)</f>
        <v>#REF!</v>
      </c>
      <c r="D136" s="2" t="e">
        <f>IF(COUNT($A136)=0,"",IF(VLOOKUP($A136,'物料分类表 R22'!$B$2:$H$1090,D$3*2,FALSE)=0,D135,VLOOKUP($A136,'物料分类表 R22'!$B$2:$H$1090,D$3*2,FALSE)))</f>
        <v>#REF!</v>
      </c>
      <c r="E136" s="1" t="e">
        <f t="shared" si="7"/>
        <v>#REF!</v>
      </c>
      <c r="F136" s="1" t="e">
        <f t="shared" si="8"/>
        <v>#REF!</v>
      </c>
      <c r="G136" s="1" t="e">
        <f t="shared" si="9"/>
        <v>#REF!</v>
      </c>
      <c r="P136" s="1" t="s">
        <v>2133</v>
      </c>
      <c r="Q136" s="2" t="s">
        <v>355</v>
      </c>
    </row>
    <row r="137" customHeight="1" spans="1:17">
      <c r="A137" s="1">
        <f>IF(MAX($A$2:A136)=$B$1,"",MAX($A$2:A136)+1)</f>
        <v>134</v>
      </c>
      <c r="B137" s="2" t="e">
        <f>IF(COUNT($A137)=0,"",VLOOKUP($A137,'物料分类表 R22'!$B$2:$H$1090,C137*2,FALSE))</f>
        <v>#REF!</v>
      </c>
      <c r="C137" s="2" t="e">
        <f>SUMIFS('物料分类表 R22'!#REF!,'物料分类表 R22'!$B$2:$B$1090,A137)</f>
        <v>#REF!</v>
      </c>
      <c r="D137" s="2" t="e">
        <f>IF(COUNT($A137)=0,"",IF(VLOOKUP($A137,'物料分类表 R22'!$B$2:$H$1090,D$3*2,FALSE)=0,D136,VLOOKUP($A137,'物料分类表 R22'!$B$2:$H$1090,D$3*2,FALSE)))</f>
        <v>#REF!</v>
      </c>
      <c r="E137" s="1" t="e">
        <f t="shared" si="7"/>
        <v>#REF!</v>
      </c>
      <c r="F137" s="1" t="e">
        <f t="shared" si="8"/>
        <v>#REF!</v>
      </c>
      <c r="G137" s="1" t="e">
        <f t="shared" si="9"/>
        <v>#REF!</v>
      </c>
      <c r="P137" s="1" t="s">
        <v>2133</v>
      </c>
      <c r="Q137" s="2" t="s">
        <v>357</v>
      </c>
    </row>
    <row r="138" customHeight="1" spans="1:17">
      <c r="A138" s="1">
        <f>IF(MAX($A$2:A137)=$B$1,"",MAX($A$2:A137)+1)</f>
        <v>135</v>
      </c>
      <c r="B138" s="2" t="e">
        <f>IF(COUNT($A138)=0,"",VLOOKUP($A138,'物料分类表 R22'!$B$2:$H$1090,C138*2,FALSE))</f>
        <v>#REF!</v>
      </c>
      <c r="C138" s="2" t="e">
        <f>SUMIFS('物料分类表 R22'!#REF!,'物料分类表 R22'!$B$2:$B$1090,A138)</f>
        <v>#REF!</v>
      </c>
      <c r="D138" s="2" t="e">
        <f>IF(COUNT($A138)=0,"",IF(VLOOKUP($A138,'物料分类表 R22'!$B$2:$H$1090,D$3*2,FALSE)=0,D137,VLOOKUP($A138,'物料分类表 R22'!$B$2:$H$1090,D$3*2,FALSE)))</f>
        <v>#REF!</v>
      </c>
      <c r="E138" s="1" t="e">
        <f t="shared" si="7"/>
        <v>#REF!</v>
      </c>
      <c r="F138" s="1" t="e">
        <f t="shared" si="8"/>
        <v>#REF!</v>
      </c>
      <c r="G138" s="1" t="e">
        <f t="shared" si="9"/>
        <v>#REF!</v>
      </c>
      <c r="P138" s="1" t="s">
        <v>2133</v>
      </c>
      <c r="Q138" s="2" t="s">
        <v>2135</v>
      </c>
    </row>
    <row r="139" customHeight="1" spans="1:17">
      <c r="A139" s="1">
        <f>IF(MAX($A$2:A138)=$B$1,"",MAX($A$2:A138)+1)</f>
        <v>136</v>
      </c>
      <c r="B139" s="2" t="e">
        <f>IF(COUNT($A139)=0,"",VLOOKUP($A139,'物料分类表 R22'!$B$2:$H$1090,C139*2,FALSE))</f>
        <v>#REF!</v>
      </c>
      <c r="C139" s="2" t="e">
        <f>SUMIFS('物料分类表 R22'!#REF!,'物料分类表 R22'!$B$2:$B$1090,A139)</f>
        <v>#REF!</v>
      </c>
      <c r="D139" s="2" t="e">
        <f>IF(COUNT($A139)=0,"",IF(VLOOKUP($A139,'物料分类表 R22'!$B$2:$H$1090,D$3*2,FALSE)=0,D138,VLOOKUP($A139,'物料分类表 R22'!$B$2:$H$1090,D$3*2,FALSE)))</f>
        <v>#REF!</v>
      </c>
      <c r="E139" s="1" t="e">
        <f t="shared" si="7"/>
        <v>#REF!</v>
      </c>
      <c r="F139" s="1" t="e">
        <f t="shared" si="8"/>
        <v>#REF!</v>
      </c>
      <c r="G139" s="1" t="e">
        <f t="shared" si="9"/>
        <v>#REF!</v>
      </c>
      <c r="P139" s="1" t="s">
        <v>2133</v>
      </c>
      <c r="Q139" s="2" t="s">
        <v>2136</v>
      </c>
    </row>
    <row r="140" customHeight="1" spans="1:17">
      <c r="A140" s="1">
        <f>IF(MAX($A$2:A139)=$B$1,"",MAX($A$2:A139)+1)</f>
        <v>137</v>
      </c>
      <c r="B140" s="2" t="e">
        <f>IF(COUNT($A140)=0,"",VLOOKUP($A140,'物料分类表 R22'!$B$2:$H$1090,C140*2,FALSE))</f>
        <v>#REF!</v>
      </c>
      <c r="C140" s="2" t="e">
        <f>SUMIFS('物料分类表 R22'!#REF!,'物料分类表 R22'!$B$2:$B$1090,A140)</f>
        <v>#REF!</v>
      </c>
      <c r="D140" s="2" t="e">
        <f>IF(COUNT($A140)=0,"",IF(VLOOKUP($A140,'物料分类表 R22'!$B$2:$H$1090,D$3*2,FALSE)=0,D139,VLOOKUP($A140,'物料分类表 R22'!$B$2:$H$1090,D$3*2,FALSE)))</f>
        <v>#REF!</v>
      </c>
      <c r="E140" s="1" t="e">
        <f t="shared" si="7"/>
        <v>#REF!</v>
      </c>
      <c r="F140" s="1" t="e">
        <f t="shared" si="8"/>
        <v>#REF!</v>
      </c>
      <c r="G140" s="1" t="e">
        <f t="shared" si="9"/>
        <v>#REF!</v>
      </c>
      <c r="P140" s="1" t="s">
        <v>2133</v>
      </c>
      <c r="Q140" s="2" t="s">
        <v>361</v>
      </c>
    </row>
    <row r="141" customHeight="1" spans="1:17">
      <c r="A141" s="1">
        <f>IF(MAX($A$2:A140)=$B$1,"",MAX($A$2:A140)+1)</f>
        <v>138</v>
      </c>
      <c r="B141" s="2" t="e">
        <f>IF(COUNT($A141)=0,"",VLOOKUP($A141,'物料分类表 R22'!$B$2:$H$1090,C141*2,FALSE))</f>
        <v>#REF!</v>
      </c>
      <c r="C141" s="2" t="e">
        <f>SUMIFS('物料分类表 R22'!#REF!,'物料分类表 R22'!$B$2:$B$1090,A141)</f>
        <v>#REF!</v>
      </c>
      <c r="D141" s="2" t="e">
        <f>IF(COUNT($A141)=0,"",IF(VLOOKUP($A141,'物料分类表 R22'!$B$2:$H$1090,D$3*2,FALSE)=0,D140,VLOOKUP($A141,'物料分类表 R22'!$B$2:$H$1090,D$3*2,FALSE)))</f>
        <v>#REF!</v>
      </c>
      <c r="E141" s="1" t="e">
        <f t="shared" si="7"/>
        <v>#REF!</v>
      </c>
      <c r="F141" s="1" t="e">
        <f t="shared" si="8"/>
        <v>#REF!</v>
      </c>
      <c r="G141" s="1" t="e">
        <f t="shared" si="9"/>
        <v>#REF!</v>
      </c>
      <c r="P141" s="1" t="s">
        <v>2133</v>
      </c>
      <c r="Q141" s="2" t="s">
        <v>363</v>
      </c>
    </row>
    <row r="142" customHeight="1" spans="1:17">
      <c r="A142" s="1">
        <f>IF(MAX($A$2:A141)=$B$1,"",MAX($A$2:A141)+1)</f>
        <v>139</v>
      </c>
      <c r="B142" s="2" t="e">
        <f>IF(COUNT($A142)=0,"",VLOOKUP($A142,'物料分类表 R22'!$B$2:$H$1090,C142*2,FALSE))</f>
        <v>#REF!</v>
      </c>
      <c r="C142" s="2" t="e">
        <f>SUMIFS('物料分类表 R22'!#REF!,'物料分类表 R22'!$B$2:$B$1090,A142)</f>
        <v>#REF!</v>
      </c>
      <c r="D142" s="2" t="e">
        <f>IF(COUNT($A142)=0,"",IF(VLOOKUP($A142,'物料分类表 R22'!$B$2:$H$1090,D$3*2,FALSE)=0,D141,VLOOKUP($A142,'物料分类表 R22'!$B$2:$H$1090,D$3*2,FALSE)))</f>
        <v>#REF!</v>
      </c>
      <c r="E142" s="1" t="e">
        <f t="shared" si="7"/>
        <v>#REF!</v>
      </c>
      <c r="F142" s="1" t="e">
        <f t="shared" si="8"/>
        <v>#REF!</v>
      </c>
      <c r="G142" s="1" t="e">
        <f t="shared" si="9"/>
        <v>#REF!</v>
      </c>
      <c r="P142" s="1" t="s">
        <v>2133</v>
      </c>
      <c r="Q142" s="2" t="s">
        <v>365</v>
      </c>
    </row>
    <row r="143" customHeight="1" spans="1:17">
      <c r="A143" s="1">
        <f>IF(MAX($A$2:A142)=$B$1,"",MAX($A$2:A142)+1)</f>
        <v>140</v>
      </c>
      <c r="B143" s="2" t="e">
        <f>IF(COUNT($A143)=0,"",VLOOKUP($A143,'物料分类表 R22'!$B$2:$H$1090,C143*2,FALSE))</f>
        <v>#REF!</v>
      </c>
      <c r="C143" s="2" t="e">
        <f>SUMIFS('物料分类表 R22'!#REF!,'物料分类表 R22'!$B$2:$B$1090,A143)</f>
        <v>#REF!</v>
      </c>
      <c r="D143" s="2" t="e">
        <f>IF(COUNT($A143)=0,"",IF(VLOOKUP($A143,'物料分类表 R22'!$B$2:$H$1090,D$3*2,FALSE)=0,D142,VLOOKUP($A143,'物料分类表 R22'!$B$2:$H$1090,D$3*2,FALSE)))</f>
        <v>#REF!</v>
      </c>
      <c r="E143" s="1" t="e">
        <f t="shared" si="7"/>
        <v>#REF!</v>
      </c>
      <c r="F143" s="1" t="e">
        <f t="shared" si="8"/>
        <v>#REF!</v>
      </c>
      <c r="G143" s="1" t="e">
        <f t="shared" si="9"/>
        <v>#REF!</v>
      </c>
      <c r="P143" s="1" t="s">
        <v>2133</v>
      </c>
      <c r="Q143" s="2" t="s">
        <v>2137</v>
      </c>
    </row>
    <row r="144" customHeight="1" spans="1:17">
      <c r="A144" s="1">
        <f>IF(MAX($A$2:A143)=$B$1,"",MAX($A$2:A143)+1)</f>
        <v>141</v>
      </c>
      <c r="B144" s="2" t="e">
        <f>IF(COUNT($A144)=0,"",VLOOKUP($A144,'物料分类表 R22'!$B$2:$H$1090,C144*2,FALSE))</f>
        <v>#REF!</v>
      </c>
      <c r="C144" s="2" t="e">
        <f>SUMIFS('物料分类表 R22'!#REF!,'物料分类表 R22'!$B$2:$B$1090,A144)</f>
        <v>#REF!</v>
      </c>
      <c r="D144" s="2" t="e">
        <f>IF(COUNT($A144)=0,"",IF(VLOOKUP($A144,'物料分类表 R22'!$B$2:$H$1090,D$3*2,FALSE)=0,D143,VLOOKUP($A144,'物料分类表 R22'!$B$2:$H$1090,D$3*2,FALSE)))</f>
        <v>#REF!</v>
      </c>
      <c r="E144" s="1" t="e">
        <f t="shared" si="7"/>
        <v>#REF!</v>
      </c>
      <c r="F144" s="1" t="e">
        <f t="shared" si="8"/>
        <v>#REF!</v>
      </c>
      <c r="G144" s="1" t="e">
        <f t="shared" si="9"/>
        <v>#REF!</v>
      </c>
      <c r="P144" s="1" t="s">
        <v>2133</v>
      </c>
      <c r="Q144" s="2" t="s">
        <v>367</v>
      </c>
    </row>
    <row r="145" customHeight="1" spans="1:17">
      <c r="A145" s="1">
        <f>IF(MAX($A$2:A144)=$B$1,"",MAX($A$2:A144)+1)</f>
        <v>142</v>
      </c>
      <c r="B145" s="2" t="e">
        <f>IF(COUNT($A145)=0,"",VLOOKUP($A145,'物料分类表 R22'!$B$2:$H$1090,C145*2,FALSE))</f>
        <v>#REF!</v>
      </c>
      <c r="C145" s="2" t="e">
        <f>SUMIFS('物料分类表 R22'!#REF!,'物料分类表 R22'!$B$2:$B$1090,A145)</f>
        <v>#REF!</v>
      </c>
      <c r="D145" s="2" t="e">
        <f>IF(COUNT($A145)=0,"",IF(VLOOKUP($A145,'物料分类表 R22'!$B$2:$H$1090,D$3*2,FALSE)=0,D144,VLOOKUP($A145,'物料分类表 R22'!$B$2:$H$1090,D$3*2,FALSE)))</f>
        <v>#REF!</v>
      </c>
      <c r="E145" s="1" t="e">
        <f t="shared" si="7"/>
        <v>#REF!</v>
      </c>
      <c r="F145" s="1" t="e">
        <f t="shared" si="8"/>
        <v>#REF!</v>
      </c>
      <c r="G145" s="1" t="e">
        <f t="shared" si="9"/>
        <v>#REF!</v>
      </c>
      <c r="P145" s="1" t="s">
        <v>2133</v>
      </c>
      <c r="Q145" s="2" t="s">
        <v>369</v>
      </c>
    </row>
    <row r="146" customHeight="1" spans="1:17">
      <c r="A146" s="1">
        <f>IF(MAX($A$2:A145)=$B$1,"",MAX($A$2:A145)+1)</f>
        <v>143</v>
      </c>
      <c r="B146" s="2" t="e">
        <f>IF(COUNT($A146)=0,"",VLOOKUP($A146,'物料分类表 R22'!$B$2:$H$1090,C146*2,FALSE))</f>
        <v>#REF!</v>
      </c>
      <c r="C146" s="2" t="e">
        <f>SUMIFS('物料分类表 R22'!#REF!,'物料分类表 R22'!$B$2:$B$1090,A146)</f>
        <v>#REF!</v>
      </c>
      <c r="D146" s="2" t="e">
        <f>IF(COUNT($A146)=0,"",IF(VLOOKUP($A146,'物料分类表 R22'!$B$2:$H$1090,D$3*2,FALSE)=0,D145,VLOOKUP($A146,'物料分类表 R22'!$B$2:$H$1090,D$3*2,FALSE)))</f>
        <v>#REF!</v>
      </c>
      <c r="E146" s="1" t="e">
        <f t="shared" si="7"/>
        <v>#REF!</v>
      </c>
      <c r="F146" s="1" t="e">
        <f t="shared" si="8"/>
        <v>#REF!</v>
      </c>
      <c r="G146" s="1" t="e">
        <f t="shared" si="9"/>
        <v>#REF!</v>
      </c>
      <c r="P146" s="1" t="s">
        <v>2133</v>
      </c>
      <c r="Q146" s="2" t="s">
        <v>371</v>
      </c>
    </row>
    <row r="147" customHeight="1" spans="1:17">
      <c r="A147" s="1">
        <f>IF(MAX($A$2:A146)=$B$1,"",MAX($A$2:A146)+1)</f>
        <v>144</v>
      </c>
      <c r="B147" s="2" t="e">
        <f>IF(COUNT($A147)=0,"",VLOOKUP($A147,'物料分类表 R22'!$B$2:$H$1090,C147*2,FALSE))</f>
        <v>#REF!</v>
      </c>
      <c r="C147" s="2" t="e">
        <f>SUMIFS('物料分类表 R22'!#REF!,'物料分类表 R22'!$B$2:$B$1090,A147)</f>
        <v>#REF!</v>
      </c>
      <c r="D147" s="2" t="e">
        <f>IF(COUNT($A147)=0,"",IF(VLOOKUP($A147,'物料分类表 R22'!$B$2:$H$1090,D$3*2,FALSE)=0,D146,VLOOKUP($A147,'物料分类表 R22'!$B$2:$H$1090,D$3*2,FALSE)))</f>
        <v>#REF!</v>
      </c>
      <c r="E147" s="1" t="e">
        <f t="shared" si="7"/>
        <v>#REF!</v>
      </c>
      <c r="F147" s="1" t="e">
        <f t="shared" si="8"/>
        <v>#REF!</v>
      </c>
      <c r="G147" s="1" t="e">
        <f t="shared" si="9"/>
        <v>#REF!</v>
      </c>
      <c r="P147" s="1" t="s">
        <v>2133</v>
      </c>
      <c r="Q147" s="2" t="s">
        <v>373</v>
      </c>
    </row>
    <row r="148" customHeight="1" spans="1:17">
      <c r="A148" s="1">
        <f>IF(MAX($A$2:A147)=$B$1,"",MAX($A$2:A147)+1)</f>
        <v>145</v>
      </c>
      <c r="B148" s="2" t="e">
        <f>IF(COUNT($A148)=0,"",VLOOKUP($A148,'物料分类表 R22'!$B$2:$H$1090,C148*2,FALSE))</f>
        <v>#REF!</v>
      </c>
      <c r="C148" s="2" t="e">
        <f>SUMIFS('物料分类表 R22'!#REF!,'物料分类表 R22'!$B$2:$B$1090,A148)</f>
        <v>#REF!</v>
      </c>
      <c r="D148" s="2" t="e">
        <f>IF(COUNT($A148)=0,"",IF(VLOOKUP($A148,'物料分类表 R22'!$B$2:$H$1090,D$3*2,FALSE)=0,D147,VLOOKUP($A148,'物料分类表 R22'!$B$2:$H$1090,D$3*2,FALSE)))</f>
        <v>#REF!</v>
      </c>
      <c r="E148" s="1" t="e">
        <f t="shared" si="7"/>
        <v>#REF!</v>
      </c>
      <c r="F148" s="1" t="e">
        <f t="shared" si="8"/>
        <v>#REF!</v>
      </c>
      <c r="G148" s="1" t="e">
        <f t="shared" si="9"/>
        <v>#REF!</v>
      </c>
      <c r="P148" s="1" t="s">
        <v>2133</v>
      </c>
      <c r="Q148" s="2" t="s">
        <v>375</v>
      </c>
    </row>
    <row r="149" customHeight="1" spans="1:17">
      <c r="A149" s="1">
        <f>IF(MAX($A$2:A148)=$B$1,"",MAX($A$2:A148)+1)</f>
        <v>146</v>
      </c>
      <c r="B149" s="2" t="e">
        <f>IF(COUNT($A149)=0,"",VLOOKUP($A149,'物料分类表 R22'!$B$2:$H$1090,C149*2,FALSE))</f>
        <v>#REF!</v>
      </c>
      <c r="C149" s="2" t="e">
        <f>SUMIFS('物料分类表 R22'!#REF!,'物料分类表 R22'!$B$2:$B$1090,A149)</f>
        <v>#REF!</v>
      </c>
      <c r="D149" s="2" t="e">
        <f>IF(COUNT($A149)=0,"",IF(VLOOKUP($A149,'物料分类表 R22'!$B$2:$H$1090,D$3*2,FALSE)=0,D148,VLOOKUP($A149,'物料分类表 R22'!$B$2:$H$1090,D$3*2,FALSE)))</f>
        <v>#REF!</v>
      </c>
      <c r="E149" s="1" t="e">
        <f t="shared" si="7"/>
        <v>#REF!</v>
      </c>
      <c r="F149" s="1" t="e">
        <f t="shared" si="8"/>
        <v>#REF!</v>
      </c>
      <c r="G149" s="1" t="e">
        <f t="shared" si="9"/>
        <v>#REF!</v>
      </c>
      <c r="P149" s="1" t="s">
        <v>2133</v>
      </c>
      <c r="Q149" s="2" t="s">
        <v>2138</v>
      </c>
    </row>
    <row r="150" customHeight="1" spans="1:17">
      <c r="A150" s="1">
        <f>IF(MAX($A$2:A149)=$B$1,"",MAX($A$2:A149)+1)</f>
        <v>147</v>
      </c>
      <c r="B150" s="2" t="e">
        <f>IF(COUNT($A150)=0,"",VLOOKUP($A150,'物料分类表 R22'!$B$2:$H$1090,C150*2,FALSE))</f>
        <v>#REF!</v>
      </c>
      <c r="C150" s="2" t="e">
        <f>SUMIFS('物料分类表 R22'!#REF!,'物料分类表 R22'!$B$2:$B$1090,A150)</f>
        <v>#REF!</v>
      </c>
      <c r="D150" s="2" t="e">
        <f>IF(COUNT($A150)=0,"",IF(VLOOKUP($A150,'物料分类表 R22'!$B$2:$H$1090,D$3*2,FALSE)=0,D149,VLOOKUP($A150,'物料分类表 R22'!$B$2:$H$1090,D$3*2,FALSE)))</f>
        <v>#REF!</v>
      </c>
      <c r="E150" s="1" t="e">
        <f t="shared" si="7"/>
        <v>#REF!</v>
      </c>
      <c r="F150" s="1" t="e">
        <f t="shared" si="8"/>
        <v>#REF!</v>
      </c>
      <c r="G150" s="1" t="e">
        <f t="shared" si="9"/>
        <v>#REF!</v>
      </c>
      <c r="P150" s="1" t="s">
        <v>2133</v>
      </c>
      <c r="Q150" s="2" t="s">
        <v>2139</v>
      </c>
    </row>
    <row r="151" customHeight="1" spans="1:17">
      <c r="A151" s="1">
        <f>IF(MAX($A$2:A150)=$B$1,"",MAX($A$2:A150)+1)</f>
        <v>148</v>
      </c>
      <c r="B151" s="2" t="e">
        <f>IF(COUNT($A151)=0,"",VLOOKUP($A151,'物料分类表 R22'!$B$2:$H$1090,C151*2,FALSE))</f>
        <v>#REF!</v>
      </c>
      <c r="C151" s="2" t="e">
        <f>SUMIFS('物料分类表 R22'!#REF!,'物料分类表 R22'!$B$2:$B$1090,A151)</f>
        <v>#REF!</v>
      </c>
      <c r="D151" s="2" t="e">
        <f>IF(COUNT($A151)=0,"",IF(VLOOKUP($A151,'物料分类表 R22'!$B$2:$H$1090,D$3*2,FALSE)=0,D150,VLOOKUP($A151,'物料分类表 R22'!$B$2:$H$1090,D$3*2,FALSE)))</f>
        <v>#REF!</v>
      </c>
      <c r="E151" s="1" t="e">
        <f t="shared" si="7"/>
        <v>#REF!</v>
      </c>
      <c r="F151" s="1" t="e">
        <f t="shared" si="8"/>
        <v>#REF!</v>
      </c>
      <c r="G151" s="1" t="e">
        <f t="shared" si="9"/>
        <v>#REF!</v>
      </c>
      <c r="P151" s="1" t="s">
        <v>2133</v>
      </c>
      <c r="Q151" s="2" t="s">
        <v>2140</v>
      </c>
    </row>
    <row r="152" customHeight="1" spans="1:17">
      <c r="A152" s="1">
        <f>IF(MAX($A$2:A151)=$B$1,"",MAX($A$2:A151)+1)</f>
        <v>149</v>
      </c>
      <c r="B152" s="2" t="e">
        <f>IF(COUNT($A152)=0,"",VLOOKUP($A152,'物料分类表 R22'!$B$2:$H$1090,C152*2,FALSE))</f>
        <v>#REF!</v>
      </c>
      <c r="C152" s="2" t="e">
        <f>SUMIFS('物料分类表 R22'!#REF!,'物料分类表 R22'!$B$2:$B$1090,A152)</f>
        <v>#REF!</v>
      </c>
      <c r="D152" s="2" t="e">
        <f>IF(COUNT($A152)=0,"",IF(VLOOKUP($A152,'物料分类表 R22'!$B$2:$H$1090,D$3*2,FALSE)=0,D151,VLOOKUP($A152,'物料分类表 R22'!$B$2:$H$1090,D$3*2,FALSE)))</f>
        <v>#REF!</v>
      </c>
      <c r="E152" s="1" t="e">
        <f t="shared" si="7"/>
        <v>#REF!</v>
      </c>
      <c r="F152" s="1" t="e">
        <f t="shared" si="8"/>
        <v>#REF!</v>
      </c>
      <c r="G152" s="1" t="e">
        <f t="shared" si="9"/>
        <v>#REF!</v>
      </c>
      <c r="P152" s="1" t="s">
        <v>2133</v>
      </c>
      <c r="Q152" s="2" t="s">
        <v>2141</v>
      </c>
    </row>
    <row r="153" customHeight="1" spans="1:17">
      <c r="A153" s="1">
        <f>IF(MAX($A$2:A152)=$B$1,"",MAX($A$2:A152)+1)</f>
        <v>150</v>
      </c>
      <c r="B153" s="2" t="e">
        <f>IF(COUNT($A153)=0,"",VLOOKUP($A153,'物料分类表 R22'!$B$2:$H$1090,C153*2,FALSE))</f>
        <v>#REF!</v>
      </c>
      <c r="C153" s="2" t="e">
        <f>SUMIFS('物料分类表 R22'!#REF!,'物料分类表 R22'!$B$2:$B$1090,A153)</f>
        <v>#REF!</v>
      </c>
      <c r="D153" s="2" t="e">
        <f>IF(COUNT($A153)=0,"",IF(VLOOKUP($A153,'物料分类表 R22'!$B$2:$H$1090,D$3*2,FALSE)=0,D152,VLOOKUP($A153,'物料分类表 R22'!$B$2:$H$1090,D$3*2,FALSE)))</f>
        <v>#REF!</v>
      </c>
      <c r="E153" s="1" t="e">
        <f t="shared" si="7"/>
        <v>#REF!</v>
      </c>
      <c r="F153" s="1" t="e">
        <f t="shared" si="8"/>
        <v>#REF!</v>
      </c>
      <c r="G153" s="1" t="e">
        <f t="shared" si="9"/>
        <v>#REF!</v>
      </c>
      <c r="P153" s="1" t="s">
        <v>2133</v>
      </c>
      <c r="Q153" s="2" t="s">
        <v>379</v>
      </c>
    </row>
    <row r="154" customHeight="1" spans="1:17">
      <c r="A154" s="1">
        <f>IF(MAX($A$2:A153)=$B$1,"",MAX($A$2:A153)+1)</f>
        <v>151</v>
      </c>
      <c r="B154" s="2" t="e">
        <f>IF(COUNT($A154)=0,"",VLOOKUP($A154,'物料分类表 R22'!$B$2:$H$1090,C154*2,FALSE))</f>
        <v>#REF!</v>
      </c>
      <c r="C154" s="2" t="e">
        <f>SUMIFS('物料分类表 R22'!#REF!,'物料分类表 R22'!$B$2:$B$1090,A154)</f>
        <v>#REF!</v>
      </c>
      <c r="D154" s="2" t="e">
        <f>IF(COUNT($A154)=0,"",IF(VLOOKUP($A154,'物料分类表 R22'!$B$2:$H$1090,D$3*2,FALSE)=0,D153,VLOOKUP($A154,'物料分类表 R22'!$B$2:$H$1090,D$3*2,FALSE)))</f>
        <v>#REF!</v>
      </c>
      <c r="E154" s="1" t="e">
        <f t="shared" si="7"/>
        <v>#REF!</v>
      </c>
      <c r="F154" s="1" t="e">
        <f t="shared" si="8"/>
        <v>#REF!</v>
      </c>
      <c r="G154" s="1" t="e">
        <f t="shared" si="9"/>
        <v>#REF!</v>
      </c>
      <c r="P154" s="1" t="s">
        <v>2133</v>
      </c>
      <c r="Q154" s="2" t="s">
        <v>381</v>
      </c>
    </row>
    <row r="155" customHeight="1" spans="1:17">
      <c r="A155" s="1">
        <f>IF(MAX($A$2:A154)=$B$1,"",MAX($A$2:A154)+1)</f>
        <v>152</v>
      </c>
      <c r="B155" s="2" t="e">
        <f>IF(COUNT($A155)=0,"",VLOOKUP($A155,'物料分类表 R22'!$B$2:$H$1090,C155*2,FALSE))</f>
        <v>#REF!</v>
      </c>
      <c r="C155" s="2" t="e">
        <f>SUMIFS('物料分类表 R22'!#REF!,'物料分类表 R22'!$B$2:$B$1090,A155)</f>
        <v>#REF!</v>
      </c>
      <c r="D155" s="2" t="e">
        <f>IF(COUNT($A155)=0,"",IF(VLOOKUP($A155,'物料分类表 R22'!$B$2:$H$1090,D$3*2,FALSE)=0,D154,VLOOKUP($A155,'物料分类表 R22'!$B$2:$H$1090,D$3*2,FALSE)))</f>
        <v>#REF!</v>
      </c>
      <c r="E155" s="1" t="e">
        <f t="shared" si="7"/>
        <v>#REF!</v>
      </c>
      <c r="F155" s="1" t="e">
        <f t="shared" si="8"/>
        <v>#REF!</v>
      </c>
      <c r="G155" s="1" t="e">
        <f t="shared" si="9"/>
        <v>#REF!</v>
      </c>
      <c r="P155" s="1" t="s">
        <v>2133</v>
      </c>
      <c r="Q155" s="2" t="s">
        <v>383</v>
      </c>
    </row>
    <row r="156" customHeight="1" spans="1:17">
      <c r="A156" s="1">
        <f>IF(MAX($A$2:A155)=$B$1,"",MAX($A$2:A155)+1)</f>
        <v>153</v>
      </c>
      <c r="B156" s="2" t="e">
        <f>IF(COUNT($A156)=0,"",VLOOKUP($A156,'物料分类表 R22'!$B$2:$H$1090,C156*2,FALSE))</f>
        <v>#REF!</v>
      </c>
      <c r="C156" s="2" t="e">
        <f>SUMIFS('物料分类表 R22'!#REF!,'物料分类表 R22'!$B$2:$B$1090,A156)</f>
        <v>#REF!</v>
      </c>
      <c r="D156" s="2" t="e">
        <f>IF(COUNT($A156)=0,"",IF(VLOOKUP($A156,'物料分类表 R22'!$B$2:$H$1090,D$3*2,FALSE)=0,D155,VLOOKUP($A156,'物料分类表 R22'!$B$2:$H$1090,D$3*2,FALSE)))</f>
        <v>#REF!</v>
      </c>
      <c r="E156" s="1" t="e">
        <f t="shared" si="7"/>
        <v>#REF!</v>
      </c>
      <c r="F156" s="1" t="e">
        <f t="shared" si="8"/>
        <v>#REF!</v>
      </c>
      <c r="G156" s="1" t="e">
        <f t="shared" si="9"/>
        <v>#REF!</v>
      </c>
      <c r="P156" s="1" t="s">
        <v>2133</v>
      </c>
      <c r="Q156" s="2" t="s">
        <v>385</v>
      </c>
    </row>
    <row r="157" customHeight="1" spans="1:17">
      <c r="A157" s="1">
        <f>IF(MAX($A$2:A156)=$B$1,"",MAX($A$2:A156)+1)</f>
        <v>154</v>
      </c>
      <c r="B157" s="2" t="e">
        <f>IF(COUNT($A157)=0,"",VLOOKUP($A157,'物料分类表 R22'!$B$2:$H$1090,C157*2,FALSE))</f>
        <v>#REF!</v>
      </c>
      <c r="C157" s="2" t="e">
        <f>SUMIFS('物料分类表 R22'!#REF!,'物料分类表 R22'!$B$2:$B$1090,A157)</f>
        <v>#REF!</v>
      </c>
      <c r="D157" s="2" t="e">
        <f>IF(COUNT($A157)=0,"",IF(VLOOKUP($A157,'物料分类表 R22'!$B$2:$H$1090,D$3*2,FALSE)=0,D156,VLOOKUP($A157,'物料分类表 R22'!$B$2:$H$1090,D$3*2,FALSE)))</f>
        <v>#REF!</v>
      </c>
      <c r="E157" s="1" t="e">
        <f t="shared" si="7"/>
        <v>#REF!</v>
      </c>
      <c r="F157" s="1" t="e">
        <f t="shared" si="8"/>
        <v>#REF!</v>
      </c>
      <c r="G157" s="1" t="e">
        <f t="shared" si="9"/>
        <v>#REF!</v>
      </c>
      <c r="P157" s="1" t="s">
        <v>2142</v>
      </c>
      <c r="Q157" s="2" t="s">
        <v>2143</v>
      </c>
    </row>
    <row r="158" customHeight="1" spans="1:17">
      <c r="A158" s="1">
        <f>IF(MAX($A$2:A157)=$B$1,"",MAX($A$2:A157)+1)</f>
        <v>155</v>
      </c>
      <c r="B158" s="2" t="e">
        <f>IF(COUNT($A158)=0,"",VLOOKUP($A158,'物料分类表 R22'!$B$2:$H$1090,C158*2,FALSE))</f>
        <v>#REF!</v>
      </c>
      <c r="C158" s="2" t="e">
        <f>SUMIFS('物料分类表 R22'!#REF!,'物料分类表 R22'!$B$2:$B$1090,A158)</f>
        <v>#REF!</v>
      </c>
      <c r="D158" s="2" t="e">
        <f>IF(COUNT($A158)=0,"",IF(VLOOKUP($A158,'物料分类表 R22'!$B$2:$H$1090,D$3*2,FALSE)=0,D157,VLOOKUP($A158,'物料分类表 R22'!$B$2:$H$1090,D$3*2,FALSE)))</f>
        <v>#REF!</v>
      </c>
      <c r="E158" s="1" t="e">
        <f t="shared" si="7"/>
        <v>#REF!</v>
      </c>
      <c r="F158" s="1" t="e">
        <f t="shared" si="8"/>
        <v>#REF!</v>
      </c>
      <c r="G158" s="1" t="e">
        <f t="shared" si="9"/>
        <v>#REF!</v>
      </c>
      <c r="P158" s="1" t="s">
        <v>2142</v>
      </c>
      <c r="Q158" s="2" t="s">
        <v>2144</v>
      </c>
    </row>
    <row r="159" customHeight="1" spans="1:17">
      <c r="A159" s="1">
        <f>IF(MAX($A$2:A158)=$B$1,"",MAX($A$2:A158)+1)</f>
        <v>156</v>
      </c>
      <c r="B159" s="2" t="e">
        <f>IF(COUNT($A159)=0,"",VLOOKUP($A159,'物料分类表 R22'!$B$2:$H$1090,C159*2,FALSE))</f>
        <v>#REF!</v>
      </c>
      <c r="C159" s="2" t="e">
        <f>SUMIFS('物料分类表 R22'!#REF!,'物料分类表 R22'!$B$2:$B$1090,A159)</f>
        <v>#REF!</v>
      </c>
      <c r="D159" s="2" t="e">
        <f>IF(COUNT($A159)=0,"",IF(VLOOKUP($A159,'物料分类表 R22'!$B$2:$H$1090,D$3*2,FALSE)=0,D158,VLOOKUP($A159,'物料分类表 R22'!$B$2:$H$1090,D$3*2,FALSE)))</f>
        <v>#REF!</v>
      </c>
      <c r="E159" s="1" t="e">
        <f t="shared" si="7"/>
        <v>#REF!</v>
      </c>
      <c r="F159" s="1" t="e">
        <f t="shared" si="8"/>
        <v>#REF!</v>
      </c>
      <c r="G159" s="1" t="e">
        <f t="shared" si="9"/>
        <v>#REF!</v>
      </c>
      <c r="P159" s="1" t="s">
        <v>2142</v>
      </c>
      <c r="Q159" s="2" t="s">
        <v>387</v>
      </c>
    </row>
    <row r="160" customHeight="1" spans="1:17">
      <c r="A160" s="1">
        <f>IF(MAX($A$2:A159)=$B$1,"",MAX($A$2:A159)+1)</f>
        <v>157</v>
      </c>
      <c r="B160" s="2" t="e">
        <f>IF(COUNT($A160)=0,"",VLOOKUP($A160,'物料分类表 R22'!$B$2:$H$1090,C160*2,FALSE))</f>
        <v>#REF!</v>
      </c>
      <c r="C160" s="2" t="e">
        <f>SUMIFS('物料分类表 R22'!#REF!,'物料分类表 R22'!$B$2:$B$1090,A160)</f>
        <v>#REF!</v>
      </c>
      <c r="D160" s="2" t="e">
        <f>IF(COUNT($A160)=0,"",IF(VLOOKUP($A160,'物料分类表 R22'!$B$2:$H$1090,D$3*2,FALSE)=0,D159,VLOOKUP($A160,'物料分类表 R22'!$B$2:$H$1090,D$3*2,FALSE)))</f>
        <v>#REF!</v>
      </c>
      <c r="E160" s="1" t="e">
        <f t="shared" si="7"/>
        <v>#REF!</v>
      </c>
      <c r="F160" s="1" t="e">
        <f t="shared" si="8"/>
        <v>#REF!</v>
      </c>
      <c r="G160" s="1" t="e">
        <f t="shared" si="9"/>
        <v>#REF!</v>
      </c>
      <c r="P160" s="1" t="s">
        <v>2142</v>
      </c>
      <c r="Q160" s="2" t="s">
        <v>389</v>
      </c>
    </row>
    <row r="161" customHeight="1" spans="1:17">
      <c r="A161" s="1">
        <f>IF(MAX($A$2:A160)=$B$1,"",MAX($A$2:A160)+1)</f>
        <v>158</v>
      </c>
      <c r="B161" s="2" t="e">
        <f>IF(COUNT($A161)=0,"",VLOOKUP($A161,'物料分类表 R22'!$B$2:$H$1090,C161*2,FALSE))</f>
        <v>#REF!</v>
      </c>
      <c r="C161" s="2" t="e">
        <f>SUMIFS('物料分类表 R22'!#REF!,'物料分类表 R22'!$B$2:$B$1090,A161)</f>
        <v>#REF!</v>
      </c>
      <c r="D161" s="2" t="e">
        <f>IF(COUNT($A161)=0,"",IF(VLOOKUP($A161,'物料分类表 R22'!$B$2:$H$1090,D$3*2,FALSE)=0,D160,VLOOKUP($A161,'物料分类表 R22'!$B$2:$H$1090,D$3*2,FALSE)))</f>
        <v>#REF!</v>
      </c>
      <c r="E161" s="1" t="e">
        <f t="shared" si="7"/>
        <v>#REF!</v>
      </c>
      <c r="F161" s="1" t="e">
        <f t="shared" si="8"/>
        <v>#REF!</v>
      </c>
      <c r="G161" s="1" t="e">
        <f t="shared" si="9"/>
        <v>#REF!</v>
      </c>
      <c r="P161" s="1" t="s">
        <v>2142</v>
      </c>
      <c r="Q161" s="2" t="s">
        <v>2145</v>
      </c>
    </row>
    <row r="162" customHeight="1" spans="1:17">
      <c r="A162" s="1">
        <f>IF(MAX($A$2:A161)=$B$1,"",MAX($A$2:A161)+1)</f>
        <v>159</v>
      </c>
      <c r="B162" s="2" t="e">
        <f>IF(COUNT($A162)=0,"",VLOOKUP($A162,'物料分类表 R22'!$B$2:$H$1090,C162*2,FALSE))</f>
        <v>#REF!</v>
      </c>
      <c r="C162" s="2" t="e">
        <f>SUMIFS('物料分类表 R22'!#REF!,'物料分类表 R22'!$B$2:$B$1090,A162)</f>
        <v>#REF!</v>
      </c>
      <c r="D162" s="2" t="e">
        <f>IF(COUNT($A162)=0,"",IF(VLOOKUP($A162,'物料分类表 R22'!$B$2:$H$1090,D$3*2,FALSE)=0,D161,VLOOKUP($A162,'物料分类表 R22'!$B$2:$H$1090,D$3*2,FALSE)))</f>
        <v>#REF!</v>
      </c>
      <c r="E162" s="1" t="e">
        <f t="shared" si="7"/>
        <v>#REF!</v>
      </c>
      <c r="F162" s="1" t="e">
        <f t="shared" si="8"/>
        <v>#REF!</v>
      </c>
      <c r="G162" s="1" t="e">
        <f t="shared" si="9"/>
        <v>#REF!</v>
      </c>
      <c r="P162" s="1" t="s">
        <v>2142</v>
      </c>
      <c r="Q162" s="2" t="s">
        <v>391</v>
      </c>
    </row>
    <row r="163" customHeight="1" spans="1:17">
      <c r="A163" s="1">
        <f>IF(MAX($A$2:A162)=$B$1,"",MAX($A$2:A162)+1)</f>
        <v>160</v>
      </c>
      <c r="B163" s="2" t="e">
        <f>IF(COUNT($A163)=0,"",VLOOKUP($A163,'物料分类表 R22'!$B$2:$H$1090,C163*2,FALSE))</f>
        <v>#REF!</v>
      </c>
      <c r="C163" s="2" t="e">
        <f>SUMIFS('物料分类表 R22'!#REF!,'物料分类表 R22'!$B$2:$B$1090,A163)</f>
        <v>#REF!</v>
      </c>
      <c r="D163" s="2" t="e">
        <f>IF(COUNT($A163)=0,"",IF(VLOOKUP($A163,'物料分类表 R22'!$B$2:$H$1090,D$3*2,FALSE)=0,D162,VLOOKUP($A163,'物料分类表 R22'!$B$2:$H$1090,D$3*2,FALSE)))</f>
        <v>#REF!</v>
      </c>
      <c r="E163" s="1" t="e">
        <f t="shared" si="7"/>
        <v>#REF!</v>
      </c>
      <c r="F163" s="1" t="e">
        <f t="shared" si="8"/>
        <v>#REF!</v>
      </c>
      <c r="G163" s="1" t="e">
        <f t="shared" si="9"/>
        <v>#REF!</v>
      </c>
      <c r="P163" s="1" t="s">
        <v>2142</v>
      </c>
      <c r="Q163" s="2" t="s">
        <v>2146</v>
      </c>
    </row>
    <row r="164" customHeight="1" spans="1:17">
      <c r="A164" s="1">
        <f>IF(MAX($A$2:A163)=$B$1,"",MAX($A$2:A163)+1)</f>
        <v>161</v>
      </c>
      <c r="B164" s="2" t="e">
        <f>IF(COUNT($A164)=0,"",VLOOKUP($A164,'物料分类表 R22'!$B$2:$H$1090,C164*2,FALSE))</f>
        <v>#REF!</v>
      </c>
      <c r="C164" s="2" t="e">
        <f>SUMIFS('物料分类表 R22'!#REF!,'物料分类表 R22'!$B$2:$B$1090,A164)</f>
        <v>#REF!</v>
      </c>
      <c r="D164" s="2" t="e">
        <f>IF(COUNT($A164)=0,"",IF(VLOOKUP($A164,'物料分类表 R22'!$B$2:$H$1090,D$3*2,FALSE)=0,D163,VLOOKUP($A164,'物料分类表 R22'!$B$2:$H$1090,D$3*2,FALSE)))</f>
        <v>#REF!</v>
      </c>
      <c r="E164" s="1" t="e">
        <f t="shared" si="7"/>
        <v>#REF!</v>
      </c>
      <c r="F164" s="1" t="e">
        <f t="shared" si="8"/>
        <v>#REF!</v>
      </c>
      <c r="G164" s="1" t="e">
        <f t="shared" si="9"/>
        <v>#REF!</v>
      </c>
      <c r="P164" s="1" t="s">
        <v>2142</v>
      </c>
      <c r="Q164" s="2" t="s">
        <v>2147</v>
      </c>
    </row>
    <row r="165" customHeight="1" spans="1:17">
      <c r="A165" s="1">
        <f>IF(MAX($A$2:A164)=$B$1,"",MAX($A$2:A164)+1)</f>
        <v>162</v>
      </c>
      <c r="B165" s="2" t="e">
        <f>IF(COUNT($A165)=0,"",VLOOKUP($A165,'物料分类表 R22'!$B$2:$H$1090,C165*2,FALSE))</f>
        <v>#REF!</v>
      </c>
      <c r="C165" s="2" t="e">
        <f>SUMIFS('物料分类表 R22'!#REF!,'物料分类表 R22'!$B$2:$B$1090,A165)</f>
        <v>#REF!</v>
      </c>
      <c r="D165" s="2" t="e">
        <f>IF(COUNT($A165)=0,"",IF(VLOOKUP($A165,'物料分类表 R22'!$B$2:$H$1090,D$3*2,FALSE)=0,D164,VLOOKUP($A165,'物料分类表 R22'!$B$2:$H$1090,D$3*2,FALSE)))</f>
        <v>#REF!</v>
      </c>
      <c r="E165" s="1" t="e">
        <f t="shared" si="7"/>
        <v>#REF!</v>
      </c>
      <c r="F165" s="1" t="e">
        <f t="shared" si="8"/>
        <v>#REF!</v>
      </c>
      <c r="G165" s="1" t="e">
        <f t="shared" si="9"/>
        <v>#REF!</v>
      </c>
      <c r="P165" s="1" t="s">
        <v>2142</v>
      </c>
      <c r="Q165" s="2" t="s">
        <v>2148</v>
      </c>
    </row>
    <row r="166" customHeight="1" spans="1:17">
      <c r="A166" s="1">
        <f>IF(MAX($A$2:A165)=$B$1,"",MAX($A$2:A165)+1)</f>
        <v>163</v>
      </c>
      <c r="B166" s="2" t="e">
        <f>IF(COUNT($A166)=0,"",VLOOKUP($A166,'物料分类表 R22'!$B$2:$H$1090,C166*2,FALSE))</f>
        <v>#REF!</v>
      </c>
      <c r="C166" s="2" t="e">
        <f>SUMIFS('物料分类表 R22'!#REF!,'物料分类表 R22'!$B$2:$B$1090,A166)</f>
        <v>#REF!</v>
      </c>
      <c r="D166" s="2" t="e">
        <f>IF(COUNT($A166)=0,"",IF(VLOOKUP($A166,'物料分类表 R22'!$B$2:$H$1090,D$3*2,FALSE)=0,D165,VLOOKUP($A166,'物料分类表 R22'!$B$2:$H$1090,D$3*2,FALSE)))</f>
        <v>#REF!</v>
      </c>
      <c r="E166" s="1" t="e">
        <f t="shared" si="7"/>
        <v>#REF!</v>
      </c>
      <c r="F166" s="1" t="e">
        <f t="shared" si="8"/>
        <v>#REF!</v>
      </c>
      <c r="G166" s="1" t="e">
        <f t="shared" si="9"/>
        <v>#REF!</v>
      </c>
      <c r="P166" s="1" t="s">
        <v>2142</v>
      </c>
      <c r="Q166" s="2" t="s">
        <v>395</v>
      </c>
    </row>
    <row r="167" customHeight="1" spans="1:17">
      <c r="A167" s="1">
        <f>IF(MAX($A$2:A166)=$B$1,"",MAX($A$2:A166)+1)</f>
        <v>164</v>
      </c>
      <c r="B167" s="2" t="e">
        <f>IF(COUNT($A167)=0,"",VLOOKUP($A167,'物料分类表 R22'!$B$2:$H$1090,C167*2,FALSE))</f>
        <v>#REF!</v>
      </c>
      <c r="C167" s="2" t="e">
        <f>SUMIFS('物料分类表 R22'!#REF!,'物料分类表 R22'!$B$2:$B$1090,A167)</f>
        <v>#REF!</v>
      </c>
      <c r="D167" s="2" t="e">
        <f>IF(COUNT($A167)=0,"",IF(VLOOKUP($A167,'物料分类表 R22'!$B$2:$H$1090,D$3*2,FALSE)=0,D166,VLOOKUP($A167,'物料分类表 R22'!$B$2:$H$1090,D$3*2,FALSE)))</f>
        <v>#REF!</v>
      </c>
      <c r="E167" s="1" t="e">
        <f t="shared" si="7"/>
        <v>#REF!</v>
      </c>
      <c r="F167" s="1" t="e">
        <f t="shared" si="8"/>
        <v>#REF!</v>
      </c>
      <c r="G167" s="1" t="e">
        <f t="shared" si="9"/>
        <v>#REF!</v>
      </c>
      <c r="P167" s="1" t="s">
        <v>2142</v>
      </c>
      <c r="Q167" s="2" t="s">
        <v>2149</v>
      </c>
    </row>
    <row r="168" customHeight="1" spans="1:17">
      <c r="A168" s="1">
        <f>IF(MAX($A$2:A167)=$B$1,"",MAX($A$2:A167)+1)</f>
        <v>165</v>
      </c>
      <c r="B168" s="2" t="e">
        <f>IF(COUNT($A168)=0,"",VLOOKUP($A168,'物料分类表 R22'!$B$2:$H$1090,C168*2,FALSE))</f>
        <v>#REF!</v>
      </c>
      <c r="C168" s="2" t="e">
        <f>SUMIFS('物料分类表 R22'!#REF!,'物料分类表 R22'!$B$2:$B$1090,A168)</f>
        <v>#REF!</v>
      </c>
      <c r="D168" s="2" t="e">
        <f>IF(COUNT($A168)=0,"",IF(VLOOKUP($A168,'物料分类表 R22'!$B$2:$H$1090,D$3*2,FALSE)=0,D167,VLOOKUP($A168,'物料分类表 R22'!$B$2:$H$1090,D$3*2,FALSE)))</f>
        <v>#REF!</v>
      </c>
      <c r="E168" s="1" t="e">
        <f t="shared" si="7"/>
        <v>#REF!</v>
      </c>
      <c r="F168" s="1" t="e">
        <f t="shared" si="8"/>
        <v>#REF!</v>
      </c>
      <c r="G168" s="1" t="e">
        <f t="shared" si="9"/>
        <v>#REF!</v>
      </c>
      <c r="P168" s="1" t="s">
        <v>2142</v>
      </c>
      <c r="Q168" s="2" t="s">
        <v>397</v>
      </c>
    </row>
    <row r="169" customHeight="1" spans="1:17">
      <c r="A169" s="1">
        <f>IF(MAX($A$2:A168)=$B$1,"",MAX($A$2:A168)+1)</f>
        <v>166</v>
      </c>
      <c r="B169" s="2" t="e">
        <f>IF(COUNT($A169)=0,"",VLOOKUP($A169,'物料分类表 R22'!$B$2:$H$1090,C169*2,FALSE))</f>
        <v>#REF!</v>
      </c>
      <c r="C169" s="2" t="e">
        <f>SUMIFS('物料分类表 R22'!#REF!,'物料分类表 R22'!$B$2:$B$1090,A169)</f>
        <v>#REF!</v>
      </c>
      <c r="D169" s="2" t="e">
        <f>IF(COUNT($A169)=0,"",IF(VLOOKUP($A169,'物料分类表 R22'!$B$2:$H$1090,D$3*2,FALSE)=0,D168,VLOOKUP($A169,'物料分类表 R22'!$B$2:$H$1090,D$3*2,FALSE)))</f>
        <v>#REF!</v>
      </c>
      <c r="E169" s="1" t="e">
        <f t="shared" si="7"/>
        <v>#REF!</v>
      </c>
      <c r="F169" s="1" t="e">
        <f t="shared" si="8"/>
        <v>#REF!</v>
      </c>
      <c r="G169" s="1" t="e">
        <f t="shared" si="9"/>
        <v>#REF!</v>
      </c>
      <c r="P169" s="1" t="s">
        <v>2142</v>
      </c>
      <c r="Q169" s="2" t="s">
        <v>399</v>
      </c>
    </row>
    <row r="170" customHeight="1" spans="1:17">
      <c r="A170" s="1">
        <f>IF(MAX($A$2:A169)=$B$1,"",MAX($A$2:A169)+1)</f>
        <v>167</v>
      </c>
      <c r="B170" s="2" t="e">
        <f>IF(COUNT($A170)=0,"",VLOOKUP($A170,'物料分类表 R22'!$B$2:$H$1090,C170*2,FALSE))</f>
        <v>#REF!</v>
      </c>
      <c r="C170" s="2" t="e">
        <f>SUMIFS('物料分类表 R22'!#REF!,'物料分类表 R22'!$B$2:$B$1090,A170)</f>
        <v>#REF!</v>
      </c>
      <c r="D170" s="2" t="e">
        <f>IF(COUNT($A170)=0,"",IF(VLOOKUP($A170,'物料分类表 R22'!$B$2:$H$1090,D$3*2,FALSE)=0,D169,VLOOKUP($A170,'物料分类表 R22'!$B$2:$H$1090,D$3*2,FALSE)))</f>
        <v>#REF!</v>
      </c>
      <c r="E170" s="1" t="e">
        <f t="shared" si="7"/>
        <v>#REF!</v>
      </c>
      <c r="F170" s="1" t="e">
        <f t="shared" si="8"/>
        <v>#REF!</v>
      </c>
      <c r="G170" s="1" t="e">
        <f t="shared" si="9"/>
        <v>#REF!</v>
      </c>
      <c r="P170" s="1" t="s">
        <v>2142</v>
      </c>
      <c r="Q170" s="2" t="s">
        <v>2150</v>
      </c>
    </row>
    <row r="171" customHeight="1" spans="1:17">
      <c r="A171" s="1">
        <f>IF(MAX($A$2:A170)=$B$1,"",MAX($A$2:A170)+1)</f>
        <v>168</v>
      </c>
      <c r="B171" s="2" t="e">
        <f>IF(COUNT($A171)=0,"",VLOOKUP($A171,'物料分类表 R22'!$B$2:$H$1090,C171*2,FALSE))</f>
        <v>#REF!</v>
      </c>
      <c r="C171" s="2" t="e">
        <f>SUMIFS('物料分类表 R22'!#REF!,'物料分类表 R22'!$B$2:$B$1090,A171)</f>
        <v>#REF!</v>
      </c>
      <c r="D171" s="2" t="e">
        <f>IF(COUNT($A171)=0,"",IF(VLOOKUP($A171,'物料分类表 R22'!$B$2:$H$1090,D$3*2,FALSE)=0,D170,VLOOKUP($A171,'物料分类表 R22'!$B$2:$H$1090,D$3*2,FALSE)))</f>
        <v>#REF!</v>
      </c>
      <c r="E171" s="1" t="e">
        <f t="shared" ref="E171:E234" si="10">IF(COUNT($A171)=0,"",VLOOKUP(MID($D171,1,1),$P:$Q,2,FALSE))</f>
        <v>#REF!</v>
      </c>
      <c r="F171" s="1" t="e">
        <f t="shared" ref="F171:F234" si="11">IF(COUNT($A171)=0,"",VLOOKUP(MID($D171,1,2),$P:$Q,2,FALSE))</f>
        <v>#REF!</v>
      </c>
      <c r="G171" s="1" t="e">
        <f t="shared" ref="G171:G234" si="12">IF(COUNT($A171)=0,"",IF(C171=4,IF(COUNT($A171)=0,"",VLOOKUP(MID($D171,1,3),$P:$Q,2,FALSE)),""))</f>
        <v>#REF!</v>
      </c>
      <c r="P171" s="1" t="s">
        <v>2142</v>
      </c>
      <c r="Q171" s="2" t="s">
        <v>2151</v>
      </c>
    </row>
    <row r="172" customHeight="1" spans="1:17">
      <c r="A172" s="1">
        <f>IF(MAX($A$2:A171)=$B$1,"",MAX($A$2:A171)+1)</f>
        <v>169</v>
      </c>
      <c r="B172" s="2" t="e">
        <f>IF(COUNT($A172)=0,"",VLOOKUP($A172,'物料分类表 R22'!$B$2:$H$1090,C172*2,FALSE))</f>
        <v>#REF!</v>
      </c>
      <c r="C172" s="2" t="e">
        <f>SUMIFS('物料分类表 R22'!#REF!,'物料分类表 R22'!$B$2:$B$1090,A172)</f>
        <v>#REF!</v>
      </c>
      <c r="D172" s="2" t="e">
        <f>IF(COUNT($A172)=0,"",IF(VLOOKUP($A172,'物料分类表 R22'!$B$2:$H$1090,D$3*2,FALSE)=0,D171,VLOOKUP($A172,'物料分类表 R22'!$B$2:$H$1090,D$3*2,FALSE)))</f>
        <v>#REF!</v>
      </c>
      <c r="E172" s="1" t="e">
        <f t="shared" si="10"/>
        <v>#REF!</v>
      </c>
      <c r="F172" s="1" t="e">
        <f t="shared" si="11"/>
        <v>#REF!</v>
      </c>
      <c r="G172" s="1" t="e">
        <f t="shared" si="12"/>
        <v>#REF!</v>
      </c>
      <c r="P172" s="1" t="s">
        <v>2142</v>
      </c>
      <c r="Q172" s="2" t="s">
        <v>403</v>
      </c>
    </row>
    <row r="173" customHeight="1" spans="1:17">
      <c r="A173" s="1">
        <f>IF(MAX($A$2:A172)=$B$1,"",MAX($A$2:A172)+1)</f>
        <v>170</v>
      </c>
      <c r="B173" s="2" t="e">
        <f>IF(COUNT($A173)=0,"",VLOOKUP($A173,'物料分类表 R22'!$B$2:$H$1090,C173*2,FALSE))</f>
        <v>#REF!</v>
      </c>
      <c r="C173" s="2" t="e">
        <f>SUMIFS('物料分类表 R22'!#REF!,'物料分类表 R22'!$B$2:$B$1090,A173)</f>
        <v>#REF!</v>
      </c>
      <c r="D173" s="2" t="e">
        <f>IF(COUNT($A173)=0,"",IF(VLOOKUP($A173,'物料分类表 R22'!$B$2:$H$1090,D$3*2,FALSE)=0,D172,VLOOKUP($A173,'物料分类表 R22'!$B$2:$H$1090,D$3*2,FALSE)))</f>
        <v>#REF!</v>
      </c>
      <c r="E173" s="1" t="e">
        <f t="shared" si="10"/>
        <v>#REF!</v>
      </c>
      <c r="F173" s="1" t="e">
        <f t="shared" si="11"/>
        <v>#REF!</v>
      </c>
      <c r="G173" s="1" t="e">
        <f t="shared" si="12"/>
        <v>#REF!</v>
      </c>
      <c r="P173" s="1" t="s">
        <v>2142</v>
      </c>
      <c r="Q173" s="2" t="s">
        <v>405</v>
      </c>
    </row>
    <row r="174" customHeight="1" spans="1:17">
      <c r="A174" s="1">
        <f>IF(MAX($A$2:A173)=$B$1,"",MAX($A$2:A173)+1)</f>
        <v>171</v>
      </c>
      <c r="B174" s="2" t="e">
        <f>IF(COUNT($A174)=0,"",VLOOKUP($A174,'物料分类表 R22'!$B$2:$H$1090,C174*2,FALSE))</f>
        <v>#REF!</v>
      </c>
      <c r="C174" s="2" t="e">
        <f>SUMIFS('物料分类表 R22'!#REF!,'物料分类表 R22'!$B$2:$B$1090,A174)</f>
        <v>#REF!</v>
      </c>
      <c r="D174" s="2" t="e">
        <f>IF(COUNT($A174)=0,"",IF(VLOOKUP($A174,'物料分类表 R22'!$B$2:$H$1090,D$3*2,FALSE)=0,D173,VLOOKUP($A174,'物料分类表 R22'!$B$2:$H$1090,D$3*2,FALSE)))</f>
        <v>#REF!</v>
      </c>
      <c r="E174" s="1" t="e">
        <f t="shared" si="10"/>
        <v>#REF!</v>
      </c>
      <c r="F174" s="1" t="e">
        <f t="shared" si="11"/>
        <v>#REF!</v>
      </c>
      <c r="G174" s="1" t="e">
        <f t="shared" si="12"/>
        <v>#REF!</v>
      </c>
      <c r="P174" s="1" t="s">
        <v>2142</v>
      </c>
      <c r="Q174" s="2" t="s">
        <v>407</v>
      </c>
    </row>
    <row r="175" customHeight="1" spans="1:17">
      <c r="A175" s="1">
        <f>IF(MAX($A$2:A174)=$B$1,"",MAX($A$2:A174)+1)</f>
        <v>172</v>
      </c>
      <c r="B175" s="2" t="e">
        <f>IF(COUNT($A175)=0,"",VLOOKUP($A175,'物料分类表 R22'!$B$2:$H$1090,C175*2,FALSE))</f>
        <v>#REF!</v>
      </c>
      <c r="C175" s="2" t="e">
        <f>SUMIFS('物料分类表 R22'!#REF!,'物料分类表 R22'!$B$2:$B$1090,A175)</f>
        <v>#REF!</v>
      </c>
      <c r="D175" s="2" t="e">
        <f>IF(COUNT($A175)=0,"",IF(VLOOKUP($A175,'物料分类表 R22'!$B$2:$H$1090,D$3*2,FALSE)=0,D174,VLOOKUP($A175,'物料分类表 R22'!$B$2:$H$1090,D$3*2,FALSE)))</f>
        <v>#REF!</v>
      </c>
      <c r="E175" s="1" t="e">
        <f t="shared" si="10"/>
        <v>#REF!</v>
      </c>
      <c r="F175" s="1" t="e">
        <f t="shared" si="11"/>
        <v>#REF!</v>
      </c>
      <c r="G175" s="1" t="e">
        <f t="shared" si="12"/>
        <v>#REF!</v>
      </c>
      <c r="P175" s="1" t="s">
        <v>2142</v>
      </c>
      <c r="Q175" s="2" t="s">
        <v>409</v>
      </c>
    </row>
    <row r="176" customHeight="1" spans="1:17">
      <c r="A176" s="1">
        <f>IF(MAX($A$2:A175)=$B$1,"",MAX($A$2:A175)+1)</f>
        <v>173</v>
      </c>
      <c r="B176" s="2" t="e">
        <f>IF(COUNT($A176)=0,"",VLOOKUP($A176,'物料分类表 R22'!$B$2:$H$1090,C176*2,FALSE))</f>
        <v>#REF!</v>
      </c>
      <c r="C176" s="2" t="e">
        <f>SUMIFS('物料分类表 R22'!#REF!,'物料分类表 R22'!$B$2:$B$1090,A176)</f>
        <v>#REF!</v>
      </c>
      <c r="D176" s="2" t="e">
        <f>IF(COUNT($A176)=0,"",IF(VLOOKUP($A176,'物料分类表 R22'!$B$2:$H$1090,D$3*2,FALSE)=0,D175,VLOOKUP($A176,'物料分类表 R22'!$B$2:$H$1090,D$3*2,FALSE)))</f>
        <v>#REF!</v>
      </c>
      <c r="E176" s="1" t="e">
        <f t="shared" si="10"/>
        <v>#REF!</v>
      </c>
      <c r="F176" s="1" t="e">
        <f t="shared" si="11"/>
        <v>#REF!</v>
      </c>
      <c r="G176" s="1" t="e">
        <f t="shared" si="12"/>
        <v>#REF!</v>
      </c>
      <c r="P176" s="1" t="s">
        <v>2142</v>
      </c>
      <c r="Q176" s="2" t="s">
        <v>411</v>
      </c>
    </row>
    <row r="177" customHeight="1" spans="1:17">
      <c r="A177" s="1">
        <f>IF(MAX($A$2:A176)=$B$1,"",MAX($A$2:A176)+1)</f>
        <v>174</v>
      </c>
      <c r="B177" s="2" t="e">
        <f>IF(COUNT($A177)=0,"",VLOOKUP($A177,'物料分类表 R22'!$B$2:$H$1090,C177*2,FALSE))</f>
        <v>#REF!</v>
      </c>
      <c r="C177" s="2" t="e">
        <f>SUMIFS('物料分类表 R22'!#REF!,'物料分类表 R22'!$B$2:$B$1090,A177)</f>
        <v>#REF!</v>
      </c>
      <c r="D177" s="2" t="e">
        <f>IF(COUNT($A177)=0,"",IF(VLOOKUP($A177,'物料分类表 R22'!$B$2:$H$1090,D$3*2,FALSE)=0,D176,VLOOKUP($A177,'物料分类表 R22'!$B$2:$H$1090,D$3*2,FALSE)))</f>
        <v>#REF!</v>
      </c>
      <c r="E177" s="1" t="e">
        <f t="shared" si="10"/>
        <v>#REF!</v>
      </c>
      <c r="F177" s="1" t="e">
        <f t="shared" si="11"/>
        <v>#REF!</v>
      </c>
      <c r="G177" s="1" t="e">
        <f t="shared" si="12"/>
        <v>#REF!</v>
      </c>
      <c r="P177" s="1" t="s">
        <v>2142</v>
      </c>
      <c r="Q177" s="2" t="s">
        <v>2152</v>
      </c>
    </row>
    <row r="178" customHeight="1" spans="1:17">
      <c r="A178" s="1">
        <f>IF(MAX($A$2:A177)=$B$1,"",MAX($A$2:A177)+1)</f>
        <v>175</v>
      </c>
      <c r="B178" s="2" t="e">
        <f>IF(COUNT($A178)=0,"",VLOOKUP($A178,'物料分类表 R22'!$B$2:$H$1090,C178*2,FALSE))</f>
        <v>#REF!</v>
      </c>
      <c r="C178" s="2" t="e">
        <f>SUMIFS('物料分类表 R22'!#REF!,'物料分类表 R22'!$B$2:$B$1090,A178)</f>
        <v>#REF!</v>
      </c>
      <c r="D178" s="2" t="e">
        <f>IF(COUNT($A178)=0,"",IF(VLOOKUP($A178,'物料分类表 R22'!$B$2:$H$1090,D$3*2,FALSE)=0,D177,VLOOKUP($A178,'物料分类表 R22'!$B$2:$H$1090,D$3*2,FALSE)))</f>
        <v>#REF!</v>
      </c>
      <c r="E178" s="1" t="e">
        <f t="shared" si="10"/>
        <v>#REF!</v>
      </c>
      <c r="F178" s="1" t="e">
        <f t="shared" si="11"/>
        <v>#REF!</v>
      </c>
      <c r="G178" s="1" t="e">
        <f t="shared" si="12"/>
        <v>#REF!</v>
      </c>
      <c r="P178" s="1" t="s">
        <v>2142</v>
      </c>
      <c r="Q178" s="2" t="s">
        <v>415</v>
      </c>
    </row>
    <row r="179" customHeight="1" spans="1:17">
      <c r="A179" s="1">
        <f>IF(MAX($A$2:A178)=$B$1,"",MAX($A$2:A178)+1)</f>
        <v>176</v>
      </c>
      <c r="B179" s="2" t="e">
        <f>IF(COUNT($A179)=0,"",VLOOKUP($A179,'物料分类表 R22'!$B$2:$H$1090,C179*2,FALSE))</f>
        <v>#REF!</v>
      </c>
      <c r="C179" s="2" t="e">
        <f>SUMIFS('物料分类表 R22'!#REF!,'物料分类表 R22'!$B$2:$B$1090,A179)</f>
        <v>#REF!</v>
      </c>
      <c r="D179" s="2" t="e">
        <f>IF(COUNT($A179)=0,"",IF(VLOOKUP($A179,'物料分类表 R22'!$B$2:$H$1090,D$3*2,FALSE)=0,D178,VLOOKUP($A179,'物料分类表 R22'!$B$2:$H$1090,D$3*2,FALSE)))</f>
        <v>#REF!</v>
      </c>
      <c r="E179" s="1" t="e">
        <f t="shared" si="10"/>
        <v>#REF!</v>
      </c>
      <c r="F179" s="1" t="e">
        <f t="shared" si="11"/>
        <v>#REF!</v>
      </c>
      <c r="G179" s="1" t="e">
        <f t="shared" si="12"/>
        <v>#REF!</v>
      </c>
      <c r="P179" s="1" t="s">
        <v>2142</v>
      </c>
      <c r="Q179" s="2" t="s">
        <v>2153</v>
      </c>
    </row>
    <row r="180" customHeight="1" spans="1:17">
      <c r="A180" s="1">
        <f>IF(MAX($A$2:A179)=$B$1,"",MAX($A$2:A179)+1)</f>
        <v>177</v>
      </c>
      <c r="B180" s="2" t="e">
        <f>IF(COUNT($A180)=0,"",VLOOKUP($A180,'物料分类表 R22'!$B$2:$H$1090,C180*2,FALSE))</f>
        <v>#REF!</v>
      </c>
      <c r="C180" s="2" t="e">
        <f>SUMIFS('物料分类表 R22'!#REF!,'物料分类表 R22'!$B$2:$B$1090,A180)</f>
        <v>#REF!</v>
      </c>
      <c r="D180" s="2" t="e">
        <f>IF(COUNT($A180)=0,"",IF(VLOOKUP($A180,'物料分类表 R22'!$B$2:$H$1090,D$3*2,FALSE)=0,D179,VLOOKUP($A180,'物料分类表 R22'!$B$2:$H$1090,D$3*2,FALSE)))</f>
        <v>#REF!</v>
      </c>
      <c r="E180" s="1" t="e">
        <f t="shared" si="10"/>
        <v>#REF!</v>
      </c>
      <c r="F180" s="1" t="e">
        <f t="shared" si="11"/>
        <v>#REF!</v>
      </c>
      <c r="G180" s="1" t="e">
        <f t="shared" si="12"/>
        <v>#REF!</v>
      </c>
      <c r="P180" s="1" t="s">
        <v>2142</v>
      </c>
      <c r="Q180" s="2" t="s">
        <v>417</v>
      </c>
    </row>
    <row r="181" customHeight="1" spans="1:17">
      <c r="A181" s="1">
        <f>IF(MAX($A$2:A180)=$B$1,"",MAX($A$2:A180)+1)</f>
        <v>178</v>
      </c>
      <c r="B181" s="2" t="e">
        <f>IF(COUNT($A181)=0,"",VLOOKUP($A181,'物料分类表 R22'!$B$2:$H$1090,C181*2,FALSE))</f>
        <v>#REF!</v>
      </c>
      <c r="C181" s="2" t="e">
        <f>SUMIFS('物料分类表 R22'!#REF!,'物料分类表 R22'!$B$2:$B$1090,A181)</f>
        <v>#REF!</v>
      </c>
      <c r="D181" s="2" t="e">
        <f>IF(COUNT($A181)=0,"",IF(VLOOKUP($A181,'物料分类表 R22'!$B$2:$H$1090,D$3*2,FALSE)=0,D180,VLOOKUP($A181,'物料分类表 R22'!$B$2:$H$1090,D$3*2,FALSE)))</f>
        <v>#REF!</v>
      </c>
      <c r="E181" s="1" t="e">
        <f t="shared" si="10"/>
        <v>#REF!</v>
      </c>
      <c r="F181" s="1" t="e">
        <f t="shared" si="11"/>
        <v>#REF!</v>
      </c>
      <c r="G181" s="1" t="e">
        <f t="shared" si="12"/>
        <v>#REF!</v>
      </c>
      <c r="P181" s="1" t="s">
        <v>2154</v>
      </c>
      <c r="Q181" s="2" t="s">
        <v>493</v>
      </c>
    </row>
    <row r="182" customHeight="1" spans="1:17">
      <c r="A182" s="1">
        <f>IF(MAX($A$2:A181)=$B$1,"",MAX($A$2:A181)+1)</f>
        <v>179</v>
      </c>
      <c r="B182" s="2" t="e">
        <f>IF(COUNT($A182)=0,"",VLOOKUP($A182,'物料分类表 R22'!$B$2:$H$1090,C182*2,FALSE))</f>
        <v>#REF!</v>
      </c>
      <c r="C182" s="2" t="e">
        <f>SUMIFS('物料分类表 R22'!#REF!,'物料分类表 R22'!$B$2:$B$1090,A182)</f>
        <v>#REF!</v>
      </c>
      <c r="D182" s="2" t="e">
        <f>IF(COUNT($A182)=0,"",IF(VLOOKUP($A182,'物料分类表 R22'!$B$2:$H$1090,D$3*2,FALSE)=0,D181,VLOOKUP($A182,'物料分类表 R22'!$B$2:$H$1090,D$3*2,FALSE)))</f>
        <v>#REF!</v>
      </c>
      <c r="E182" s="1" t="e">
        <f t="shared" si="10"/>
        <v>#REF!</v>
      </c>
      <c r="F182" s="1" t="e">
        <f t="shared" si="11"/>
        <v>#REF!</v>
      </c>
      <c r="G182" s="1" t="e">
        <f t="shared" si="12"/>
        <v>#REF!</v>
      </c>
      <c r="P182" s="1" t="s">
        <v>2155</v>
      </c>
      <c r="Q182" s="2" t="s">
        <v>2156</v>
      </c>
    </row>
    <row r="183" customHeight="1" spans="1:17">
      <c r="A183" s="1">
        <f>IF(MAX($A$2:A182)=$B$1,"",MAX($A$2:A182)+1)</f>
        <v>180</v>
      </c>
      <c r="B183" s="2" t="e">
        <f>IF(COUNT($A183)=0,"",VLOOKUP($A183,'物料分类表 R22'!$B$2:$H$1090,C183*2,FALSE))</f>
        <v>#REF!</v>
      </c>
      <c r="C183" s="2" t="e">
        <f>SUMIFS('物料分类表 R22'!#REF!,'物料分类表 R22'!$B$2:$B$1090,A183)</f>
        <v>#REF!</v>
      </c>
      <c r="D183" s="2" t="e">
        <f>IF(COUNT($A183)=0,"",IF(VLOOKUP($A183,'物料分类表 R22'!$B$2:$H$1090,D$3*2,FALSE)=0,D182,VLOOKUP($A183,'物料分类表 R22'!$B$2:$H$1090,D$3*2,FALSE)))</f>
        <v>#REF!</v>
      </c>
      <c r="E183" s="1" t="e">
        <f t="shared" si="10"/>
        <v>#REF!</v>
      </c>
      <c r="F183" s="1" t="e">
        <f t="shared" si="11"/>
        <v>#REF!</v>
      </c>
      <c r="G183" s="1" t="e">
        <f t="shared" si="12"/>
        <v>#REF!</v>
      </c>
      <c r="P183" s="1" t="s">
        <v>2157</v>
      </c>
      <c r="Q183" s="2" t="s">
        <v>520</v>
      </c>
    </row>
    <row r="184" customHeight="1" spans="1:17">
      <c r="A184" s="1">
        <f>IF(MAX($A$2:A183)=$B$1,"",MAX($A$2:A183)+1)</f>
        <v>181</v>
      </c>
      <c r="B184" s="2" t="e">
        <f>IF(COUNT($A184)=0,"",VLOOKUP($A184,'物料分类表 R22'!$B$2:$H$1090,C184*2,FALSE))</f>
        <v>#REF!</v>
      </c>
      <c r="C184" s="2" t="e">
        <f>SUMIFS('物料分类表 R22'!#REF!,'物料分类表 R22'!$B$2:$B$1090,A184)</f>
        <v>#REF!</v>
      </c>
      <c r="D184" s="2" t="e">
        <f>IF(COUNT($A184)=0,"",IF(VLOOKUP($A184,'物料分类表 R22'!$B$2:$H$1090,D$3*2,FALSE)=0,D183,VLOOKUP($A184,'物料分类表 R22'!$B$2:$H$1090,D$3*2,FALSE)))</f>
        <v>#REF!</v>
      </c>
      <c r="E184" s="1" t="e">
        <f t="shared" si="10"/>
        <v>#REF!</v>
      </c>
      <c r="F184" s="1" t="e">
        <f t="shared" si="11"/>
        <v>#REF!</v>
      </c>
      <c r="G184" s="1" t="e">
        <f t="shared" si="12"/>
        <v>#REF!</v>
      </c>
      <c r="P184" s="1" t="s">
        <v>2158</v>
      </c>
      <c r="Q184" s="2" t="s">
        <v>514</v>
      </c>
    </row>
    <row r="185" customHeight="1" spans="1:17">
      <c r="A185" s="1">
        <f>IF(MAX($A$2:A184)=$B$1,"",MAX($A$2:A184)+1)</f>
        <v>182</v>
      </c>
      <c r="B185" s="2" t="e">
        <f>IF(COUNT($A185)=0,"",VLOOKUP($A185,'物料分类表 R22'!$B$2:$H$1090,C185*2,FALSE))</f>
        <v>#REF!</v>
      </c>
      <c r="C185" s="2" t="e">
        <f>SUMIFS('物料分类表 R22'!#REF!,'物料分类表 R22'!$B$2:$B$1090,A185)</f>
        <v>#REF!</v>
      </c>
      <c r="D185" s="2" t="e">
        <f>IF(COUNT($A185)=0,"",IF(VLOOKUP($A185,'物料分类表 R22'!$B$2:$H$1090,D$3*2,FALSE)=0,D184,VLOOKUP($A185,'物料分类表 R22'!$B$2:$H$1090,D$3*2,FALSE)))</f>
        <v>#REF!</v>
      </c>
      <c r="E185" s="1" t="e">
        <f t="shared" si="10"/>
        <v>#REF!</v>
      </c>
      <c r="F185" s="1" t="e">
        <f t="shared" si="11"/>
        <v>#REF!</v>
      </c>
      <c r="G185" s="1" t="e">
        <f t="shared" si="12"/>
        <v>#REF!</v>
      </c>
      <c r="P185" s="1" t="s">
        <v>2159</v>
      </c>
      <c r="Q185" s="2" t="s">
        <v>2160</v>
      </c>
    </row>
    <row r="186" customHeight="1" spans="1:17">
      <c r="A186" s="1">
        <f>IF(MAX($A$2:A185)=$B$1,"",MAX($A$2:A185)+1)</f>
        <v>183</v>
      </c>
      <c r="B186" s="2" t="e">
        <f>IF(COUNT($A186)=0,"",VLOOKUP($A186,'物料分类表 R22'!$B$2:$H$1090,C186*2,FALSE))</f>
        <v>#REF!</v>
      </c>
      <c r="C186" s="2" t="e">
        <f>SUMIFS('物料分类表 R22'!#REF!,'物料分类表 R22'!$B$2:$B$1090,A186)</f>
        <v>#REF!</v>
      </c>
      <c r="D186" s="2" t="e">
        <f>IF(COUNT($A186)=0,"",IF(VLOOKUP($A186,'物料分类表 R22'!$B$2:$H$1090,D$3*2,FALSE)=0,D185,VLOOKUP($A186,'物料分类表 R22'!$B$2:$H$1090,D$3*2,FALSE)))</f>
        <v>#REF!</v>
      </c>
      <c r="E186" s="1" t="e">
        <f t="shared" si="10"/>
        <v>#REF!</v>
      </c>
      <c r="F186" s="1" t="e">
        <f t="shared" si="11"/>
        <v>#REF!</v>
      </c>
      <c r="G186" s="1" t="e">
        <f t="shared" si="12"/>
        <v>#REF!</v>
      </c>
      <c r="P186" s="1" t="s">
        <v>2161</v>
      </c>
      <c r="Q186" s="2" t="s">
        <v>2162</v>
      </c>
    </row>
    <row r="187" customHeight="1" spans="1:17">
      <c r="A187" s="1">
        <f>IF(MAX($A$2:A186)=$B$1,"",MAX($A$2:A186)+1)</f>
        <v>184</v>
      </c>
      <c r="B187" s="2" t="e">
        <f>IF(COUNT($A187)=0,"",VLOOKUP($A187,'物料分类表 R22'!$B$2:$H$1090,C187*2,FALSE))</f>
        <v>#REF!</v>
      </c>
      <c r="C187" s="2" t="e">
        <f>SUMIFS('物料分类表 R22'!#REF!,'物料分类表 R22'!$B$2:$B$1090,A187)</f>
        <v>#REF!</v>
      </c>
      <c r="D187" s="2" t="e">
        <f>IF(COUNT($A187)=0,"",IF(VLOOKUP($A187,'物料分类表 R22'!$B$2:$H$1090,D$3*2,FALSE)=0,D186,VLOOKUP($A187,'物料分类表 R22'!$B$2:$H$1090,D$3*2,FALSE)))</f>
        <v>#REF!</v>
      </c>
      <c r="E187" s="1" t="e">
        <f t="shared" si="10"/>
        <v>#REF!</v>
      </c>
      <c r="F187" s="1" t="e">
        <f t="shared" si="11"/>
        <v>#REF!</v>
      </c>
      <c r="G187" s="1" t="e">
        <f t="shared" si="12"/>
        <v>#REF!</v>
      </c>
      <c r="P187" s="1" t="s">
        <v>2163</v>
      </c>
      <c r="Q187" s="2" t="s">
        <v>2164</v>
      </c>
    </row>
    <row r="188" customHeight="1" spans="1:17">
      <c r="A188" s="1">
        <f>IF(MAX($A$2:A187)=$B$1,"",MAX($A$2:A187)+1)</f>
        <v>185</v>
      </c>
      <c r="B188" s="2" t="e">
        <f>IF(COUNT($A188)=0,"",VLOOKUP($A188,'物料分类表 R22'!$B$2:$H$1090,C188*2,FALSE))</f>
        <v>#REF!</v>
      </c>
      <c r="C188" s="2" t="e">
        <f>SUMIFS('物料分类表 R22'!#REF!,'物料分类表 R22'!$B$2:$B$1090,A188)</f>
        <v>#REF!</v>
      </c>
      <c r="D188" s="2" t="e">
        <f>IF(COUNT($A188)=0,"",IF(VLOOKUP($A188,'物料分类表 R22'!$B$2:$H$1090,D$3*2,FALSE)=0,D187,VLOOKUP($A188,'物料分类表 R22'!$B$2:$H$1090,D$3*2,FALSE)))</f>
        <v>#REF!</v>
      </c>
      <c r="E188" s="1" t="e">
        <f t="shared" si="10"/>
        <v>#REF!</v>
      </c>
      <c r="F188" s="1" t="e">
        <f t="shared" si="11"/>
        <v>#REF!</v>
      </c>
      <c r="G188" s="1" t="e">
        <f t="shared" si="12"/>
        <v>#REF!</v>
      </c>
      <c r="P188" s="1" t="s">
        <v>2165</v>
      </c>
      <c r="Q188" s="2" t="s">
        <v>450</v>
      </c>
    </row>
    <row r="189" customHeight="1" spans="1:17">
      <c r="A189" s="1">
        <f>IF(MAX($A$2:A188)=$B$1,"",MAX($A$2:A188)+1)</f>
        <v>186</v>
      </c>
      <c r="B189" s="2" t="e">
        <f>IF(COUNT($A189)=0,"",VLOOKUP($A189,'物料分类表 R22'!$B$2:$H$1090,C189*2,FALSE))</f>
        <v>#REF!</v>
      </c>
      <c r="C189" s="2" t="e">
        <f>SUMIFS('物料分类表 R22'!#REF!,'物料分类表 R22'!$B$2:$B$1090,A189)</f>
        <v>#REF!</v>
      </c>
      <c r="D189" s="2" t="e">
        <f>IF(COUNT($A189)=0,"",IF(VLOOKUP($A189,'物料分类表 R22'!$B$2:$H$1090,D$3*2,FALSE)=0,D188,VLOOKUP($A189,'物料分类表 R22'!$B$2:$H$1090,D$3*2,FALSE)))</f>
        <v>#REF!</v>
      </c>
      <c r="E189" s="1" t="e">
        <f t="shared" si="10"/>
        <v>#REF!</v>
      </c>
      <c r="F189" s="1" t="e">
        <f t="shared" si="11"/>
        <v>#REF!</v>
      </c>
      <c r="G189" s="1" t="e">
        <f t="shared" si="12"/>
        <v>#REF!</v>
      </c>
      <c r="P189" s="1" t="s">
        <v>2166</v>
      </c>
      <c r="Q189" s="2" t="s">
        <v>458</v>
      </c>
    </row>
    <row r="190" customHeight="1" spans="1:17">
      <c r="A190" s="1">
        <f>IF(MAX($A$2:A189)=$B$1,"",MAX($A$2:A189)+1)</f>
        <v>187</v>
      </c>
      <c r="B190" s="2" t="e">
        <f>IF(COUNT($A190)=0,"",VLOOKUP($A190,'物料分类表 R22'!$B$2:$H$1090,C190*2,FALSE))</f>
        <v>#REF!</v>
      </c>
      <c r="C190" s="2" t="e">
        <f>SUMIFS('物料分类表 R22'!#REF!,'物料分类表 R22'!$B$2:$B$1090,A190)</f>
        <v>#REF!</v>
      </c>
      <c r="D190" s="2" t="e">
        <f>IF(COUNT($A190)=0,"",IF(VLOOKUP($A190,'物料分类表 R22'!$B$2:$H$1090,D$3*2,FALSE)=0,D189,VLOOKUP($A190,'物料分类表 R22'!$B$2:$H$1090,D$3*2,FALSE)))</f>
        <v>#REF!</v>
      </c>
      <c r="E190" s="1" t="e">
        <f t="shared" si="10"/>
        <v>#REF!</v>
      </c>
      <c r="F190" s="1" t="e">
        <f t="shared" si="11"/>
        <v>#REF!</v>
      </c>
      <c r="G190" s="1" t="e">
        <f t="shared" si="12"/>
        <v>#REF!</v>
      </c>
      <c r="P190" s="1" t="s">
        <v>2167</v>
      </c>
      <c r="Q190" s="2" t="s">
        <v>452</v>
      </c>
    </row>
    <row r="191" customHeight="1" spans="1:17">
      <c r="A191" s="1">
        <f>IF(MAX($A$2:A190)=$B$1,"",MAX($A$2:A190)+1)</f>
        <v>188</v>
      </c>
      <c r="B191" s="2" t="e">
        <f>IF(COUNT($A191)=0,"",VLOOKUP($A191,'物料分类表 R22'!$B$2:$H$1090,C191*2,FALSE))</f>
        <v>#REF!</v>
      </c>
      <c r="C191" s="2" t="e">
        <f>SUMIFS('物料分类表 R22'!#REF!,'物料分类表 R22'!$B$2:$B$1090,A191)</f>
        <v>#REF!</v>
      </c>
      <c r="D191" s="2" t="e">
        <f>IF(COUNT($A191)=0,"",IF(VLOOKUP($A191,'物料分类表 R22'!$B$2:$H$1090,D$3*2,FALSE)=0,D190,VLOOKUP($A191,'物料分类表 R22'!$B$2:$H$1090,D$3*2,FALSE)))</f>
        <v>#REF!</v>
      </c>
      <c r="E191" s="1" t="e">
        <f t="shared" si="10"/>
        <v>#REF!</v>
      </c>
      <c r="F191" s="1" t="e">
        <f t="shared" si="11"/>
        <v>#REF!</v>
      </c>
      <c r="G191" s="1" t="e">
        <f t="shared" si="12"/>
        <v>#REF!</v>
      </c>
      <c r="P191" s="1" t="s">
        <v>2168</v>
      </c>
      <c r="Q191" s="2" t="s">
        <v>460</v>
      </c>
    </row>
    <row r="192" customHeight="1" spans="1:17">
      <c r="A192" s="1">
        <f>IF(MAX($A$2:A191)=$B$1,"",MAX($A$2:A191)+1)</f>
        <v>189</v>
      </c>
      <c r="B192" s="2" t="e">
        <f>IF(COUNT($A192)=0,"",VLOOKUP($A192,'物料分类表 R22'!$B$2:$H$1090,C192*2,FALSE))</f>
        <v>#REF!</v>
      </c>
      <c r="C192" s="2" t="e">
        <f>SUMIFS('物料分类表 R22'!#REF!,'物料分类表 R22'!$B$2:$B$1090,A192)</f>
        <v>#REF!</v>
      </c>
      <c r="D192" s="2" t="e">
        <f>IF(COUNT($A192)=0,"",IF(VLOOKUP($A192,'物料分类表 R22'!$B$2:$H$1090,D$3*2,FALSE)=0,D191,VLOOKUP($A192,'物料分类表 R22'!$B$2:$H$1090,D$3*2,FALSE)))</f>
        <v>#REF!</v>
      </c>
      <c r="E192" s="1" t="e">
        <f t="shared" si="10"/>
        <v>#REF!</v>
      </c>
      <c r="F192" s="1" t="e">
        <f t="shared" si="11"/>
        <v>#REF!</v>
      </c>
      <c r="G192" s="1" t="e">
        <f t="shared" si="12"/>
        <v>#REF!</v>
      </c>
      <c r="P192" s="1" t="s">
        <v>2169</v>
      </c>
      <c r="Q192" s="2" t="s">
        <v>454</v>
      </c>
    </row>
    <row r="193" customHeight="1" spans="1:17">
      <c r="A193" s="1">
        <f>IF(MAX($A$2:A192)=$B$1,"",MAX($A$2:A192)+1)</f>
        <v>190</v>
      </c>
      <c r="B193" s="2" t="e">
        <f>IF(COUNT($A193)=0,"",VLOOKUP($A193,'物料分类表 R22'!$B$2:$H$1090,C193*2,FALSE))</f>
        <v>#REF!</v>
      </c>
      <c r="C193" s="2" t="e">
        <f>SUMIFS('物料分类表 R22'!#REF!,'物料分类表 R22'!$B$2:$B$1090,A193)</f>
        <v>#REF!</v>
      </c>
      <c r="D193" s="2" t="e">
        <f>IF(COUNT($A193)=0,"",IF(VLOOKUP($A193,'物料分类表 R22'!$B$2:$H$1090,D$3*2,FALSE)=0,D192,VLOOKUP($A193,'物料分类表 R22'!$B$2:$H$1090,D$3*2,FALSE)))</f>
        <v>#REF!</v>
      </c>
      <c r="E193" s="1" t="e">
        <f t="shared" si="10"/>
        <v>#REF!</v>
      </c>
      <c r="F193" s="1" t="e">
        <f t="shared" si="11"/>
        <v>#REF!</v>
      </c>
      <c r="G193" s="1" t="e">
        <f t="shared" si="12"/>
        <v>#REF!</v>
      </c>
      <c r="P193" s="1" t="s">
        <v>2170</v>
      </c>
      <c r="Q193" s="2" t="s">
        <v>462</v>
      </c>
    </row>
    <row r="194" customHeight="1" spans="1:17">
      <c r="A194" s="1">
        <f>IF(MAX($A$2:A193)=$B$1,"",MAX($A$2:A193)+1)</f>
        <v>191</v>
      </c>
      <c r="B194" s="2" t="e">
        <f>IF(COUNT($A194)=0,"",VLOOKUP($A194,'物料分类表 R22'!$B$2:$H$1090,C194*2,FALSE))</f>
        <v>#REF!</v>
      </c>
      <c r="C194" s="2" t="e">
        <f>SUMIFS('物料分类表 R22'!#REF!,'物料分类表 R22'!$B$2:$B$1090,A194)</f>
        <v>#REF!</v>
      </c>
      <c r="D194" s="2" t="e">
        <f>IF(COUNT($A194)=0,"",IF(VLOOKUP($A194,'物料分类表 R22'!$B$2:$H$1090,D$3*2,FALSE)=0,D193,VLOOKUP($A194,'物料分类表 R22'!$B$2:$H$1090,D$3*2,FALSE)))</f>
        <v>#REF!</v>
      </c>
      <c r="E194" s="1" t="e">
        <f t="shared" si="10"/>
        <v>#REF!</v>
      </c>
      <c r="F194" s="1" t="e">
        <f t="shared" si="11"/>
        <v>#REF!</v>
      </c>
      <c r="G194" s="1" t="e">
        <f t="shared" si="12"/>
        <v>#REF!</v>
      </c>
      <c r="P194" s="1" t="s">
        <v>2171</v>
      </c>
      <c r="Q194" s="2" t="s">
        <v>456</v>
      </c>
    </row>
    <row r="195" customHeight="1" spans="1:17">
      <c r="A195" s="1">
        <f>IF(MAX($A$2:A194)=$B$1,"",MAX($A$2:A194)+1)</f>
        <v>192</v>
      </c>
      <c r="B195" s="2" t="e">
        <f>IF(COUNT($A195)=0,"",VLOOKUP($A195,'物料分类表 R22'!$B$2:$H$1090,C195*2,FALSE))</f>
        <v>#REF!</v>
      </c>
      <c r="C195" s="2" t="e">
        <f>SUMIFS('物料分类表 R22'!#REF!,'物料分类表 R22'!$B$2:$B$1090,A195)</f>
        <v>#REF!</v>
      </c>
      <c r="D195" s="2" t="e">
        <f>IF(COUNT($A195)=0,"",IF(VLOOKUP($A195,'物料分类表 R22'!$B$2:$H$1090,D$3*2,FALSE)=0,D194,VLOOKUP($A195,'物料分类表 R22'!$B$2:$H$1090,D$3*2,FALSE)))</f>
        <v>#REF!</v>
      </c>
      <c r="E195" s="1" t="e">
        <f t="shared" si="10"/>
        <v>#REF!</v>
      </c>
      <c r="F195" s="1" t="e">
        <f t="shared" si="11"/>
        <v>#REF!</v>
      </c>
      <c r="G195" s="1" t="e">
        <f t="shared" si="12"/>
        <v>#REF!</v>
      </c>
      <c r="P195" s="1" t="s">
        <v>2172</v>
      </c>
      <c r="Q195" s="2" t="s">
        <v>464</v>
      </c>
    </row>
    <row r="196" customHeight="1" spans="1:17">
      <c r="A196" s="1">
        <f>IF(MAX($A$2:A195)=$B$1,"",MAX($A$2:A195)+1)</f>
        <v>193</v>
      </c>
      <c r="B196" s="2" t="e">
        <f>IF(COUNT($A196)=0,"",VLOOKUP($A196,'物料分类表 R22'!$B$2:$H$1090,C196*2,FALSE))</f>
        <v>#REF!</v>
      </c>
      <c r="C196" s="2" t="e">
        <f>SUMIFS('物料分类表 R22'!#REF!,'物料分类表 R22'!$B$2:$B$1090,A196)</f>
        <v>#REF!</v>
      </c>
      <c r="D196" s="2" t="e">
        <f>IF(COUNT($A196)=0,"",IF(VLOOKUP($A196,'物料分类表 R22'!$B$2:$H$1090,D$3*2,FALSE)=0,D195,VLOOKUP($A196,'物料分类表 R22'!$B$2:$H$1090,D$3*2,FALSE)))</f>
        <v>#REF!</v>
      </c>
      <c r="E196" s="1" t="e">
        <f t="shared" si="10"/>
        <v>#REF!</v>
      </c>
      <c r="F196" s="1" t="e">
        <f t="shared" si="11"/>
        <v>#REF!</v>
      </c>
      <c r="G196" s="1" t="e">
        <f t="shared" si="12"/>
        <v>#REF!</v>
      </c>
      <c r="P196" s="1" t="s">
        <v>2173</v>
      </c>
      <c r="Q196" s="2" t="s">
        <v>466</v>
      </c>
    </row>
    <row r="197" customHeight="1" spans="1:17">
      <c r="A197" s="1">
        <f>IF(MAX($A$2:A196)=$B$1,"",MAX($A$2:A196)+1)</f>
        <v>194</v>
      </c>
      <c r="B197" s="2" t="e">
        <f>IF(COUNT($A197)=0,"",VLOOKUP($A197,'物料分类表 R22'!$B$2:$H$1090,C197*2,FALSE))</f>
        <v>#REF!</v>
      </c>
      <c r="C197" s="2" t="e">
        <f>SUMIFS('物料分类表 R22'!#REF!,'物料分类表 R22'!$B$2:$B$1090,A197)</f>
        <v>#REF!</v>
      </c>
      <c r="D197" s="2" t="e">
        <f>IF(COUNT($A197)=0,"",IF(VLOOKUP($A197,'物料分类表 R22'!$B$2:$H$1090,D$3*2,FALSE)=0,D196,VLOOKUP($A197,'物料分类表 R22'!$B$2:$H$1090,D$3*2,FALSE)))</f>
        <v>#REF!</v>
      </c>
      <c r="E197" s="1" t="e">
        <f t="shared" si="10"/>
        <v>#REF!</v>
      </c>
      <c r="F197" s="1" t="e">
        <f t="shared" si="11"/>
        <v>#REF!</v>
      </c>
      <c r="G197" s="1" t="e">
        <f t="shared" si="12"/>
        <v>#REF!</v>
      </c>
      <c r="P197" s="1" t="s">
        <v>2174</v>
      </c>
      <c r="Q197" s="2" t="s">
        <v>474</v>
      </c>
    </row>
    <row r="198" customHeight="1" spans="1:17">
      <c r="A198" s="1">
        <f>IF(MAX($A$2:A197)=$B$1,"",MAX($A$2:A197)+1)</f>
        <v>195</v>
      </c>
      <c r="B198" s="2" t="e">
        <f>IF(COUNT($A198)=0,"",VLOOKUP($A198,'物料分类表 R22'!$B$2:$H$1090,C198*2,FALSE))</f>
        <v>#REF!</v>
      </c>
      <c r="C198" s="2" t="e">
        <f>SUMIFS('物料分类表 R22'!#REF!,'物料分类表 R22'!$B$2:$B$1090,A198)</f>
        <v>#REF!</v>
      </c>
      <c r="D198" s="2" t="e">
        <f>IF(COUNT($A198)=0,"",IF(VLOOKUP($A198,'物料分类表 R22'!$B$2:$H$1090,D$3*2,FALSE)=0,D197,VLOOKUP($A198,'物料分类表 R22'!$B$2:$H$1090,D$3*2,FALSE)))</f>
        <v>#REF!</v>
      </c>
      <c r="E198" s="1" t="e">
        <f t="shared" si="10"/>
        <v>#REF!</v>
      </c>
      <c r="F198" s="1" t="e">
        <f t="shared" si="11"/>
        <v>#REF!</v>
      </c>
      <c r="G198" s="1" t="e">
        <f t="shared" si="12"/>
        <v>#REF!</v>
      </c>
      <c r="P198" s="1" t="s">
        <v>2175</v>
      </c>
      <c r="Q198" s="2" t="s">
        <v>468</v>
      </c>
    </row>
    <row r="199" customHeight="1" spans="1:17">
      <c r="A199" s="1">
        <f>IF(MAX($A$2:A198)=$B$1,"",MAX($A$2:A198)+1)</f>
        <v>196</v>
      </c>
      <c r="B199" s="2" t="e">
        <f>IF(COUNT($A199)=0,"",VLOOKUP($A199,'物料分类表 R22'!$B$2:$H$1090,C199*2,FALSE))</f>
        <v>#REF!</v>
      </c>
      <c r="C199" s="2" t="e">
        <f>SUMIFS('物料分类表 R22'!#REF!,'物料分类表 R22'!$B$2:$B$1090,A199)</f>
        <v>#REF!</v>
      </c>
      <c r="D199" s="2" t="e">
        <f>IF(COUNT($A199)=0,"",IF(VLOOKUP($A199,'物料分类表 R22'!$B$2:$H$1090,D$3*2,FALSE)=0,D198,VLOOKUP($A199,'物料分类表 R22'!$B$2:$H$1090,D$3*2,FALSE)))</f>
        <v>#REF!</v>
      </c>
      <c r="E199" s="1" t="e">
        <f t="shared" si="10"/>
        <v>#REF!</v>
      </c>
      <c r="F199" s="1" t="e">
        <f t="shared" si="11"/>
        <v>#REF!</v>
      </c>
      <c r="G199" s="1" t="e">
        <f t="shared" si="12"/>
        <v>#REF!</v>
      </c>
      <c r="P199" s="1" t="s">
        <v>2176</v>
      </c>
      <c r="Q199" s="2" t="s">
        <v>470</v>
      </c>
    </row>
    <row r="200" customHeight="1" spans="1:17">
      <c r="A200" s="1">
        <f>IF(MAX($A$2:A199)=$B$1,"",MAX($A$2:A199)+1)</f>
        <v>197</v>
      </c>
      <c r="B200" s="2" t="e">
        <f>IF(COUNT($A200)=0,"",VLOOKUP($A200,'物料分类表 R22'!$B$2:$H$1090,C200*2,FALSE))</f>
        <v>#REF!</v>
      </c>
      <c r="C200" s="2" t="e">
        <f>SUMIFS('物料分类表 R22'!#REF!,'物料分类表 R22'!$B$2:$B$1090,A200)</f>
        <v>#REF!</v>
      </c>
      <c r="D200" s="2" t="e">
        <f>IF(COUNT($A200)=0,"",IF(VLOOKUP($A200,'物料分类表 R22'!$B$2:$H$1090,D$3*2,FALSE)=0,D199,VLOOKUP($A200,'物料分类表 R22'!$B$2:$H$1090,D$3*2,FALSE)))</f>
        <v>#REF!</v>
      </c>
      <c r="E200" s="1" t="e">
        <f t="shared" si="10"/>
        <v>#REF!</v>
      </c>
      <c r="F200" s="1" t="e">
        <f t="shared" si="11"/>
        <v>#REF!</v>
      </c>
      <c r="G200" s="1" t="e">
        <f t="shared" si="12"/>
        <v>#REF!</v>
      </c>
      <c r="P200" s="1" t="s">
        <v>2177</v>
      </c>
      <c r="Q200" s="2" t="s">
        <v>472</v>
      </c>
    </row>
    <row r="201" customHeight="1" spans="1:17">
      <c r="A201" s="1">
        <f>IF(MAX($A$2:A200)=$B$1,"",MAX($A$2:A200)+1)</f>
        <v>198</v>
      </c>
      <c r="B201" s="2" t="e">
        <f>IF(COUNT($A201)=0,"",VLOOKUP($A201,'物料分类表 R22'!$B$2:$H$1090,C201*2,FALSE))</f>
        <v>#REF!</v>
      </c>
      <c r="C201" s="2" t="e">
        <f>SUMIFS('物料分类表 R22'!#REF!,'物料分类表 R22'!$B$2:$B$1090,A201)</f>
        <v>#REF!</v>
      </c>
      <c r="D201" s="2" t="e">
        <f>IF(COUNT($A201)=0,"",IF(VLOOKUP($A201,'物料分类表 R22'!$B$2:$H$1090,D$3*2,FALSE)=0,D200,VLOOKUP($A201,'物料分类表 R22'!$B$2:$H$1090,D$3*2,FALSE)))</f>
        <v>#REF!</v>
      </c>
      <c r="E201" s="1" t="e">
        <f t="shared" si="10"/>
        <v>#REF!</v>
      </c>
      <c r="F201" s="1" t="e">
        <f t="shared" si="11"/>
        <v>#REF!</v>
      </c>
      <c r="G201" s="1" t="e">
        <f t="shared" si="12"/>
        <v>#REF!</v>
      </c>
      <c r="P201" s="1" t="s">
        <v>2178</v>
      </c>
      <c r="Q201" s="2" t="s">
        <v>483</v>
      </c>
    </row>
    <row r="202" customHeight="1" spans="1:17">
      <c r="A202" s="1">
        <f>IF(MAX($A$2:A201)=$B$1,"",MAX($A$2:A201)+1)</f>
        <v>199</v>
      </c>
      <c r="B202" s="2" t="e">
        <f>IF(COUNT($A202)=0,"",VLOOKUP($A202,'物料分类表 R22'!$B$2:$H$1090,C202*2,FALSE))</f>
        <v>#REF!</v>
      </c>
      <c r="C202" s="2" t="e">
        <f>SUMIFS('物料分类表 R22'!#REF!,'物料分类表 R22'!$B$2:$B$1090,A202)</f>
        <v>#REF!</v>
      </c>
      <c r="D202" s="2" t="e">
        <f>IF(COUNT($A202)=0,"",IF(VLOOKUP($A202,'物料分类表 R22'!$B$2:$H$1090,D$3*2,FALSE)=0,D201,VLOOKUP($A202,'物料分类表 R22'!$B$2:$H$1090,D$3*2,FALSE)))</f>
        <v>#REF!</v>
      </c>
      <c r="E202" s="1" t="e">
        <f t="shared" si="10"/>
        <v>#REF!</v>
      </c>
      <c r="F202" s="1" t="e">
        <f t="shared" si="11"/>
        <v>#REF!</v>
      </c>
      <c r="G202" s="1" t="e">
        <f t="shared" si="12"/>
        <v>#REF!</v>
      </c>
      <c r="P202" s="1" t="s">
        <v>2179</v>
      </c>
      <c r="Q202" s="2" t="s">
        <v>485</v>
      </c>
    </row>
    <row r="203" customHeight="1" spans="1:17">
      <c r="A203" s="1">
        <f>IF(MAX($A$2:A202)=$B$1,"",MAX($A$2:A202)+1)</f>
        <v>200</v>
      </c>
      <c r="B203" s="2" t="e">
        <f>IF(COUNT($A203)=0,"",VLOOKUP($A203,'物料分类表 R22'!$B$2:$H$1090,C203*2,FALSE))</f>
        <v>#REF!</v>
      </c>
      <c r="C203" s="2" t="e">
        <f>SUMIFS('物料分类表 R22'!#REF!,'物料分类表 R22'!$B$2:$B$1090,A203)</f>
        <v>#REF!</v>
      </c>
      <c r="D203" s="2" t="e">
        <f>IF(COUNT($A203)=0,"",IF(VLOOKUP($A203,'物料分类表 R22'!$B$2:$H$1090,D$3*2,FALSE)=0,D202,VLOOKUP($A203,'物料分类表 R22'!$B$2:$H$1090,D$3*2,FALSE)))</f>
        <v>#REF!</v>
      </c>
      <c r="E203" s="1" t="e">
        <f t="shared" si="10"/>
        <v>#REF!</v>
      </c>
      <c r="F203" s="1" t="e">
        <f t="shared" si="11"/>
        <v>#REF!</v>
      </c>
      <c r="G203" s="1" t="e">
        <f t="shared" si="12"/>
        <v>#REF!</v>
      </c>
      <c r="P203" s="1" t="s">
        <v>2180</v>
      </c>
      <c r="Q203" s="2" t="s">
        <v>487</v>
      </c>
    </row>
    <row r="204" customHeight="1" spans="1:17">
      <c r="A204" s="1">
        <f>IF(MAX($A$2:A203)=$B$1,"",MAX($A$2:A203)+1)</f>
        <v>201</v>
      </c>
      <c r="B204" s="2" t="e">
        <f>IF(COUNT($A204)=0,"",VLOOKUP($A204,'物料分类表 R22'!$B$2:$H$1090,C204*2,FALSE))</f>
        <v>#REF!</v>
      </c>
      <c r="C204" s="2" t="e">
        <f>SUMIFS('物料分类表 R22'!#REF!,'物料分类表 R22'!$B$2:$B$1090,A204)</f>
        <v>#REF!</v>
      </c>
      <c r="D204" s="2" t="e">
        <f>IF(COUNT($A204)=0,"",IF(VLOOKUP($A204,'物料分类表 R22'!$B$2:$H$1090,D$3*2,FALSE)=0,D203,VLOOKUP($A204,'物料分类表 R22'!$B$2:$H$1090,D$3*2,FALSE)))</f>
        <v>#REF!</v>
      </c>
      <c r="E204" s="1" t="e">
        <f t="shared" si="10"/>
        <v>#REF!</v>
      </c>
      <c r="F204" s="1" t="e">
        <f t="shared" si="11"/>
        <v>#REF!</v>
      </c>
      <c r="G204" s="1" t="e">
        <f t="shared" si="12"/>
        <v>#REF!</v>
      </c>
      <c r="P204" s="1" t="s">
        <v>2181</v>
      </c>
      <c r="Q204" s="2" t="s">
        <v>489</v>
      </c>
    </row>
    <row r="205" customHeight="1" spans="1:17">
      <c r="A205" s="1">
        <f>IF(MAX($A$2:A204)=$B$1,"",MAX($A$2:A204)+1)</f>
        <v>202</v>
      </c>
      <c r="B205" s="2" t="e">
        <f>IF(COUNT($A205)=0,"",VLOOKUP($A205,'物料分类表 R22'!$B$2:$H$1090,C205*2,FALSE))</f>
        <v>#REF!</v>
      </c>
      <c r="C205" s="2" t="e">
        <f>SUMIFS('物料分类表 R22'!#REF!,'物料分类表 R22'!$B$2:$B$1090,A205)</f>
        <v>#REF!</v>
      </c>
      <c r="D205" s="2" t="e">
        <f>IF(COUNT($A205)=0,"",IF(VLOOKUP($A205,'物料分类表 R22'!$B$2:$H$1090,D$3*2,FALSE)=0,D204,VLOOKUP($A205,'物料分类表 R22'!$B$2:$H$1090,D$3*2,FALSE)))</f>
        <v>#REF!</v>
      </c>
      <c r="E205" s="1" t="e">
        <f t="shared" si="10"/>
        <v>#REF!</v>
      </c>
      <c r="F205" s="1" t="e">
        <f t="shared" si="11"/>
        <v>#REF!</v>
      </c>
      <c r="G205" s="1" t="e">
        <f t="shared" si="12"/>
        <v>#REF!</v>
      </c>
      <c r="P205" s="1" t="s">
        <v>2182</v>
      </c>
      <c r="Q205" s="2" t="s">
        <v>2070</v>
      </c>
    </row>
    <row r="206" customHeight="1" spans="1:17">
      <c r="A206" s="1">
        <f>IF(MAX($A$2:A205)=$B$1,"",MAX($A$2:A205)+1)</f>
        <v>203</v>
      </c>
      <c r="B206" s="2" t="e">
        <f>IF(COUNT($A206)=0,"",VLOOKUP($A206,'物料分类表 R22'!$B$2:$H$1090,C206*2,FALSE))</f>
        <v>#REF!</v>
      </c>
      <c r="C206" s="2" t="e">
        <f>SUMIFS('物料分类表 R22'!#REF!,'物料分类表 R22'!$B$2:$B$1090,A206)</f>
        <v>#REF!</v>
      </c>
      <c r="D206" s="2" t="e">
        <f>IF(COUNT($A206)=0,"",IF(VLOOKUP($A206,'物料分类表 R22'!$B$2:$H$1090,D$3*2,FALSE)=0,D205,VLOOKUP($A206,'物料分类表 R22'!$B$2:$H$1090,D$3*2,FALSE)))</f>
        <v>#REF!</v>
      </c>
      <c r="E206" s="1" t="e">
        <f t="shared" si="10"/>
        <v>#REF!</v>
      </c>
      <c r="F206" s="1" t="e">
        <f t="shared" si="11"/>
        <v>#REF!</v>
      </c>
      <c r="G206" s="1" t="e">
        <f t="shared" si="12"/>
        <v>#REF!</v>
      </c>
      <c r="P206" s="1" t="s">
        <v>2183</v>
      </c>
      <c r="Q206" s="2" t="s">
        <v>2184</v>
      </c>
    </row>
    <row r="207" customHeight="1" spans="1:17">
      <c r="A207" s="1">
        <f>IF(MAX($A$2:A206)=$B$1,"",MAX($A$2:A206)+1)</f>
        <v>204</v>
      </c>
      <c r="B207" s="2" t="e">
        <f>IF(COUNT($A207)=0,"",VLOOKUP($A207,'物料分类表 R22'!$B$2:$H$1090,C207*2,FALSE))</f>
        <v>#REF!</v>
      </c>
      <c r="C207" s="2" t="e">
        <f>SUMIFS('物料分类表 R22'!#REF!,'物料分类表 R22'!$B$2:$B$1090,A207)</f>
        <v>#REF!</v>
      </c>
      <c r="D207" s="2" t="e">
        <f>IF(COUNT($A207)=0,"",IF(VLOOKUP($A207,'物料分类表 R22'!$B$2:$H$1090,D$3*2,FALSE)=0,D206,VLOOKUP($A207,'物料分类表 R22'!$B$2:$H$1090,D$3*2,FALSE)))</f>
        <v>#REF!</v>
      </c>
      <c r="E207" s="1" t="e">
        <f t="shared" si="10"/>
        <v>#REF!</v>
      </c>
      <c r="F207" s="1" t="e">
        <f t="shared" si="11"/>
        <v>#REF!</v>
      </c>
      <c r="G207" s="1" t="e">
        <f t="shared" si="12"/>
        <v>#REF!</v>
      </c>
      <c r="P207" s="1" t="s">
        <v>2185</v>
      </c>
      <c r="Q207" s="2" t="s">
        <v>2186</v>
      </c>
    </row>
    <row r="208" customHeight="1" spans="1:17">
      <c r="A208" s="1">
        <f>IF(MAX($A$2:A207)=$B$1,"",MAX($A$2:A207)+1)</f>
        <v>205</v>
      </c>
      <c r="B208" s="2" t="e">
        <f>IF(COUNT($A208)=0,"",VLOOKUP($A208,'物料分类表 R22'!$B$2:$H$1090,C208*2,FALSE))</f>
        <v>#REF!</v>
      </c>
      <c r="C208" s="2" t="e">
        <f>SUMIFS('物料分类表 R22'!#REF!,'物料分类表 R22'!$B$2:$B$1090,A208)</f>
        <v>#REF!</v>
      </c>
      <c r="D208" s="2" t="e">
        <f>IF(COUNT($A208)=0,"",IF(VLOOKUP($A208,'物料分类表 R22'!$B$2:$H$1090,D$3*2,FALSE)=0,D207,VLOOKUP($A208,'物料分类表 R22'!$B$2:$H$1090,D$3*2,FALSE)))</f>
        <v>#REF!</v>
      </c>
      <c r="E208" s="1" t="e">
        <f t="shared" si="10"/>
        <v>#REF!</v>
      </c>
      <c r="F208" s="1" t="e">
        <f t="shared" si="11"/>
        <v>#REF!</v>
      </c>
      <c r="G208" s="1" t="e">
        <f t="shared" si="12"/>
        <v>#REF!</v>
      </c>
      <c r="P208" s="1" t="s">
        <v>2187</v>
      </c>
      <c r="Q208" s="2" t="s">
        <v>2188</v>
      </c>
    </row>
    <row r="209" customHeight="1" spans="1:17">
      <c r="A209" s="1">
        <f>IF(MAX($A$2:A208)=$B$1,"",MAX($A$2:A208)+1)</f>
        <v>206</v>
      </c>
      <c r="B209" s="2" t="e">
        <f>IF(COUNT($A209)=0,"",VLOOKUP($A209,'物料分类表 R22'!$B$2:$H$1090,C209*2,FALSE))</f>
        <v>#REF!</v>
      </c>
      <c r="C209" s="2" t="e">
        <f>SUMIFS('物料分类表 R22'!#REF!,'物料分类表 R22'!$B$2:$B$1090,A209)</f>
        <v>#REF!</v>
      </c>
      <c r="D209" s="2" t="e">
        <f>IF(COUNT($A209)=0,"",IF(VLOOKUP($A209,'物料分类表 R22'!$B$2:$H$1090,D$3*2,FALSE)=0,D208,VLOOKUP($A209,'物料分类表 R22'!$B$2:$H$1090,D$3*2,FALSE)))</f>
        <v>#REF!</v>
      </c>
      <c r="E209" s="1" t="e">
        <f t="shared" si="10"/>
        <v>#REF!</v>
      </c>
      <c r="F209" s="1" t="e">
        <f t="shared" si="11"/>
        <v>#REF!</v>
      </c>
      <c r="G209" s="1" t="e">
        <f t="shared" si="12"/>
        <v>#REF!</v>
      </c>
      <c r="P209" s="1" t="s">
        <v>2189</v>
      </c>
      <c r="Q209" s="2" t="s">
        <v>967</v>
      </c>
    </row>
    <row r="210" customHeight="1" spans="1:17">
      <c r="A210" s="1">
        <f>IF(MAX($A$2:A209)=$B$1,"",MAX($A$2:A209)+1)</f>
        <v>207</v>
      </c>
      <c r="B210" s="2" t="e">
        <f>IF(COUNT($A210)=0,"",VLOOKUP($A210,'物料分类表 R22'!$B$2:$H$1090,C210*2,FALSE))</f>
        <v>#REF!</v>
      </c>
      <c r="C210" s="2" t="e">
        <f>SUMIFS('物料分类表 R22'!#REF!,'物料分类表 R22'!$B$2:$B$1090,A210)</f>
        <v>#REF!</v>
      </c>
      <c r="D210" s="2" t="e">
        <f>IF(COUNT($A210)=0,"",IF(VLOOKUP($A210,'物料分类表 R22'!$B$2:$H$1090,D$3*2,FALSE)=0,D209,VLOOKUP($A210,'物料分类表 R22'!$B$2:$H$1090,D$3*2,FALSE)))</f>
        <v>#REF!</v>
      </c>
      <c r="E210" s="1" t="e">
        <f t="shared" si="10"/>
        <v>#REF!</v>
      </c>
      <c r="F210" s="1" t="e">
        <f t="shared" si="11"/>
        <v>#REF!</v>
      </c>
      <c r="G210" s="1" t="e">
        <f t="shared" si="12"/>
        <v>#REF!</v>
      </c>
      <c r="P210" s="1" t="s">
        <v>2190</v>
      </c>
      <c r="Q210" s="2" t="s">
        <v>2191</v>
      </c>
    </row>
    <row r="211" customHeight="1" spans="1:17">
      <c r="A211" s="1">
        <f>IF(MAX($A$2:A210)=$B$1,"",MAX($A$2:A210)+1)</f>
        <v>208</v>
      </c>
      <c r="B211" s="2" t="e">
        <f>IF(COUNT($A211)=0,"",VLOOKUP($A211,'物料分类表 R22'!$B$2:$H$1090,C211*2,FALSE))</f>
        <v>#REF!</v>
      </c>
      <c r="C211" s="2" t="e">
        <f>SUMIFS('物料分类表 R22'!#REF!,'物料分类表 R22'!$B$2:$B$1090,A211)</f>
        <v>#REF!</v>
      </c>
      <c r="D211" s="2" t="e">
        <f>IF(COUNT($A211)=0,"",IF(VLOOKUP($A211,'物料分类表 R22'!$B$2:$H$1090,D$3*2,FALSE)=0,D210,VLOOKUP($A211,'物料分类表 R22'!$B$2:$H$1090,D$3*2,FALSE)))</f>
        <v>#REF!</v>
      </c>
      <c r="E211" s="1" t="e">
        <f t="shared" si="10"/>
        <v>#REF!</v>
      </c>
      <c r="F211" s="1" t="e">
        <f t="shared" si="11"/>
        <v>#REF!</v>
      </c>
      <c r="G211" s="1" t="e">
        <f t="shared" si="12"/>
        <v>#REF!</v>
      </c>
      <c r="P211" s="1" t="s">
        <v>2192</v>
      </c>
      <c r="Q211" s="2" t="s">
        <v>2193</v>
      </c>
    </row>
    <row r="212" customHeight="1" spans="1:17">
      <c r="A212" s="1">
        <f>IF(MAX($A$2:A211)=$B$1,"",MAX($A$2:A211)+1)</f>
        <v>209</v>
      </c>
      <c r="B212" s="2" t="e">
        <f>IF(COUNT($A212)=0,"",VLOOKUP($A212,'物料分类表 R22'!$B$2:$H$1090,C212*2,FALSE))</f>
        <v>#REF!</v>
      </c>
      <c r="C212" s="2" t="e">
        <f>SUMIFS('物料分类表 R22'!#REF!,'物料分类表 R22'!$B$2:$B$1090,A212)</f>
        <v>#REF!</v>
      </c>
      <c r="D212" s="2" t="e">
        <f>IF(COUNT($A212)=0,"",IF(VLOOKUP($A212,'物料分类表 R22'!$B$2:$H$1090,D$3*2,FALSE)=0,D211,VLOOKUP($A212,'物料分类表 R22'!$B$2:$H$1090,D$3*2,FALSE)))</f>
        <v>#REF!</v>
      </c>
      <c r="E212" s="1" t="e">
        <f t="shared" si="10"/>
        <v>#REF!</v>
      </c>
      <c r="F212" s="1" t="e">
        <f t="shared" si="11"/>
        <v>#REF!</v>
      </c>
      <c r="G212" s="1" t="e">
        <f t="shared" si="12"/>
        <v>#REF!</v>
      </c>
      <c r="P212" s="1" t="s">
        <v>2194</v>
      </c>
      <c r="Q212" s="2" t="s">
        <v>2195</v>
      </c>
    </row>
    <row r="213" customHeight="1" spans="1:17">
      <c r="A213" s="1">
        <f>IF(MAX($A$2:A212)=$B$1,"",MAX($A$2:A212)+1)</f>
        <v>210</v>
      </c>
      <c r="B213" s="2" t="e">
        <f>IF(COUNT($A213)=0,"",VLOOKUP($A213,'物料分类表 R22'!$B$2:$H$1090,C213*2,FALSE))</f>
        <v>#REF!</v>
      </c>
      <c r="C213" s="2" t="e">
        <f>SUMIFS('物料分类表 R22'!#REF!,'物料分类表 R22'!$B$2:$B$1090,A213)</f>
        <v>#REF!</v>
      </c>
      <c r="D213" s="2" t="e">
        <f>IF(COUNT($A213)=0,"",IF(VLOOKUP($A213,'物料分类表 R22'!$B$2:$H$1090,D$3*2,FALSE)=0,D212,VLOOKUP($A213,'物料分类表 R22'!$B$2:$H$1090,D$3*2,FALSE)))</f>
        <v>#REF!</v>
      </c>
      <c r="E213" s="1" t="e">
        <f t="shared" si="10"/>
        <v>#REF!</v>
      </c>
      <c r="F213" s="1" t="e">
        <f t="shared" si="11"/>
        <v>#REF!</v>
      </c>
      <c r="G213" s="1" t="e">
        <f t="shared" si="12"/>
        <v>#REF!</v>
      </c>
      <c r="P213" s="1" t="s">
        <v>2196</v>
      </c>
      <c r="Q213" s="2" t="s">
        <v>2197</v>
      </c>
    </row>
    <row r="214" customHeight="1" spans="1:17">
      <c r="A214" s="1">
        <f>IF(MAX($A$2:A213)=$B$1,"",MAX($A$2:A213)+1)</f>
        <v>211</v>
      </c>
      <c r="B214" s="2" t="e">
        <f>IF(COUNT($A214)=0,"",VLOOKUP($A214,'物料分类表 R22'!$B$2:$H$1090,C214*2,FALSE))</f>
        <v>#REF!</v>
      </c>
      <c r="C214" s="2" t="e">
        <f>SUMIFS('物料分类表 R22'!#REF!,'物料分类表 R22'!$B$2:$B$1090,A214)</f>
        <v>#REF!</v>
      </c>
      <c r="D214" s="2" t="e">
        <f>IF(COUNT($A214)=0,"",IF(VLOOKUP($A214,'物料分类表 R22'!$B$2:$H$1090,D$3*2,FALSE)=0,D213,VLOOKUP($A214,'物料分类表 R22'!$B$2:$H$1090,D$3*2,FALSE)))</f>
        <v>#REF!</v>
      </c>
      <c r="E214" s="1" t="e">
        <f t="shared" si="10"/>
        <v>#REF!</v>
      </c>
      <c r="F214" s="1" t="e">
        <f t="shared" si="11"/>
        <v>#REF!</v>
      </c>
      <c r="G214" s="1" t="e">
        <f t="shared" si="12"/>
        <v>#REF!</v>
      </c>
      <c r="P214" s="1" t="s">
        <v>2198</v>
      </c>
      <c r="Q214" s="2" t="s">
        <v>2199</v>
      </c>
    </row>
    <row r="215" customHeight="1" spans="1:17">
      <c r="A215" s="1">
        <f>IF(MAX($A$2:A214)=$B$1,"",MAX($A$2:A214)+1)</f>
        <v>212</v>
      </c>
      <c r="B215" s="2" t="e">
        <f>IF(COUNT($A215)=0,"",VLOOKUP($A215,'物料分类表 R22'!$B$2:$H$1090,C215*2,FALSE))</f>
        <v>#REF!</v>
      </c>
      <c r="C215" s="2" t="e">
        <f>SUMIFS('物料分类表 R22'!#REF!,'物料分类表 R22'!$B$2:$B$1090,A215)</f>
        <v>#REF!</v>
      </c>
      <c r="D215" s="2" t="e">
        <f>IF(COUNT($A215)=0,"",IF(VLOOKUP($A215,'物料分类表 R22'!$B$2:$H$1090,D$3*2,FALSE)=0,D214,VLOOKUP($A215,'物料分类表 R22'!$B$2:$H$1090,D$3*2,FALSE)))</f>
        <v>#REF!</v>
      </c>
      <c r="E215" s="1" t="e">
        <f t="shared" si="10"/>
        <v>#REF!</v>
      </c>
      <c r="F215" s="1" t="e">
        <f t="shared" si="11"/>
        <v>#REF!</v>
      </c>
      <c r="G215" s="1" t="e">
        <f t="shared" si="12"/>
        <v>#REF!</v>
      </c>
      <c r="P215" s="1" t="s">
        <v>2200</v>
      </c>
      <c r="Q215" s="2" t="s">
        <v>2201</v>
      </c>
    </row>
    <row r="216" customHeight="1" spans="1:17">
      <c r="A216" s="1">
        <f>IF(MAX($A$2:A215)=$B$1,"",MAX($A$2:A215)+1)</f>
        <v>213</v>
      </c>
      <c r="B216" s="2" t="e">
        <f>IF(COUNT($A216)=0,"",VLOOKUP($A216,'物料分类表 R22'!$B$2:$H$1090,C216*2,FALSE))</f>
        <v>#REF!</v>
      </c>
      <c r="C216" s="2" t="e">
        <f>SUMIFS('物料分类表 R22'!#REF!,'物料分类表 R22'!$B$2:$B$1090,A216)</f>
        <v>#REF!</v>
      </c>
      <c r="D216" s="2" t="e">
        <f>IF(COUNT($A216)=0,"",IF(VLOOKUP($A216,'物料分类表 R22'!$B$2:$H$1090,D$3*2,FALSE)=0,D215,VLOOKUP($A216,'物料分类表 R22'!$B$2:$H$1090,D$3*2,FALSE)))</f>
        <v>#REF!</v>
      </c>
      <c r="E216" s="1" t="e">
        <f t="shared" si="10"/>
        <v>#REF!</v>
      </c>
      <c r="F216" s="1" t="e">
        <f t="shared" si="11"/>
        <v>#REF!</v>
      </c>
      <c r="G216" s="1" t="e">
        <f t="shared" si="12"/>
        <v>#REF!</v>
      </c>
      <c r="P216" s="1" t="s">
        <v>2202</v>
      </c>
      <c r="Q216" s="2" t="s">
        <v>2203</v>
      </c>
    </row>
    <row r="217" customHeight="1" spans="1:17">
      <c r="A217" s="1">
        <f>IF(MAX($A$2:A216)=$B$1,"",MAX($A$2:A216)+1)</f>
        <v>214</v>
      </c>
      <c r="B217" s="2" t="e">
        <f>IF(COUNT($A217)=0,"",VLOOKUP($A217,'物料分类表 R22'!$B$2:$H$1090,C217*2,FALSE))</f>
        <v>#REF!</v>
      </c>
      <c r="C217" s="2" t="e">
        <f>SUMIFS('物料分类表 R22'!#REF!,'物料分类表 R22'!$B$2:$B$1090,A217)</f>
        <v>#REF!</v>
      </c>
      <c r="D217" s="2" t="e">
        <f>IF(COUNT($A217)=0,"",IF(VLOOKUP($A217,'物料分类表 R22'!$B$2:$H$1090,D$3*2,FALSE)=0,D216,VLOOKUP($A217,'物料分类表 R22'!$B$2:$H$1090,D$3*2,FALSE)))</f>
        <v>#REF!</v>
      </c>
      <c r="E217" s="1" t="e">
        <f t="shared" si="10"/>
        <v>#REF!</v>
      </c>
      <c r="F217" s="1" t="e">
        <f t="shared" si="11"/>
        <v>#REF!</v>
      </c>
      <c r="G217" s="1" t="e">
        <f t="shared" si="12"/>
        <v>#REF!</v>
      </c>
      <c r="P217" s="1" t="s">
        <v>2204</v>
      </c>
      <c r="Q217" s="2" t="s">
        <v>2205</v>
      </c>
    </row>
    <row r="218" customHeight="1" spans="1:17">
      <c r="A218" s="1">
        <f>IF(MAX($A$2:A217)=$B$1,"",MAX($A$2:A217)+1)</f>
        <v>215</v>
      </c>
      <c r="B218" s="2" t="e">
        <f>IF(COUNT($A218)=0,"",VLOOKUP($A218,'物料分类表 R22'!$B$2:$H$1090,C218*2,FALSE))</f>
        <v>#REF!</v>
      </c>
      <c r="C218" s="2" t="e">
        <f>SUMIFS('物料分类表 R22'!#REF!,'物料分类表 R22'!$B$2:$B$1090,A218)</f>
        <v>#REF!</v>
      </c>
      <c r="D218" s="2" t="e">
        <f>IF(COUNT($A218)=0,"",IF(VLOOKUP($A218,'物料分类表 R22'!$B$2:$H$1090,D$3*2,FALSE)=0,D217,VLOOKUP($A218,'物料分类表 R22'!$B$2:$H$1090,D$3*2,FALSE)))</f>
        <v>#REF!</v>
      </c>
      <c r="E218" s="1" t="e">
        <f t="shared" si="10"/>
        <v>#REF!</v>
      </c>
      <c r="F218" s="1" t="e">
        <f t="shared" si="11"/>
        <v>#REF!</v>
      </c>
      <c r="G218" s="1" t="e">
        <f t="shared" si="12"/>
        <v>#REF!</v>
      </c>
      <c r="P218" s="1" t="s">
        <v>2206</v>
      </c>
      <c r="Q218" s="2" t="s">
        <v>2207</v>
      </c>
    </row>
    <row r="219" customHeight="1" spans="1:17">
      <c r="A219" s="1">
        <f>IF(MAX($A$2:A218)=$B$1,"",MAX($A$2:A218)+1)</f>
        <v>216</v>
      </c>
      <c r="B219" s="2" t="e">
        <f>IF(COUNT($A219)=0,"",VLOOKUP($A219,'物料分类表 R22'!$B$2:$H$1090,C219*2,FALSE))</f>
        <v>#REF!</v>
      </c>
      <c r="C219" s="2" t="e">
        <f>SUMIFS('物料分类表 R22'!#REF!,'物料分类表 R22'!$B$2:$B$1090,A219)</f>
        <v>#REF!</v>
      </c>
      <c r="D219" s="2" t="e">
        <f>IF(COUNT($A219)=0,"",IF(VLOOKUP($A219,'物料分类表 R22'!$B$2:$H$1090,D$3*2,FALSE)=0,D218,VLOOKUP($A219,'物料分类表 R22'!$B$2:$H$1090,D$3*2,FALSE)))</f>
        <v>#REF!</v>
      </c>
      <c r="E219" s="1" t="e">
        <f t="shared" si="10"/>
        <v>#REF!</v>
      </c>
      <c r="F219" s="1" t="e">
        <f t="shared" si="11"/>
        <v>#REF!</v>
      </c>
      <c r="G219" s="1" t="e">
        <f t="shared" si="12"/>
        <v>#REF!</v>
      </c>
      <c r="P219" s="1" t="s">
        <v>2208</v>
      </c>
      <c r="Q219" s="2" t="s">
        <v>2209</v>
      </c>
    </row>
    <row r="220" customHeight="1" spans="1:17">
      <c r="A220" s="1">
        <f>IF(MAX($A$2:A219)=$B$1,"",MAX($A$2:A219)+1)</f>
        <v>217</v>
      </c>
      <c r="B220" s="2" t="e">
        <f>IF(COUNT($A220)=0,"",VLOOKUP($A220,'物料分类表 R22'!$B$2:$H$1090,C220*2,FALSE))</f>
        <v>#REF!</v>
      </c>
      <c r="C220" s="2" t="e">
        <f>SUMIFS('物料分类表 R22'!#REF!,'物料分类表 R22'!$B$2:$B$1090,A220)</f>
        <v>#REF!</v>
      </c>
      <c r="D220" s="2" t="e">
        <f>IF(COUNT($A220)=0,"",IF(VLOOKUP($A220,'物料分类表 R22'!$B$2:$H$1090,D$3*2,FALSE)=0,D219,VLOOKUP($A220,'物料分类表 R22'!$B$2:$H$1090,D$3*2,FALSE)))</f>
        <v>#REF!</v>
      </c>
      <c r="E220" s="1" t="e">
        <f t="shared" si="10"/>
        <v>#REF!</v>
      </c>
      <c r="F220" s="1" t="e">
        <f t="shared" si="11"/>
        <v>#REF!</v>
      </c>
      <c r="G220" s="1" t="e">
        <f t="shared" si="12"/>
        <v>#REF!</v>
      </c>
      <c r="P220" s="1" t="s">
        <v>2210</v>
      </c>
      <c r="Q220" s="2" t="s">
        <v>967</v>
      </c>
    </row>
    <row r="221" customHeight="1" spans="1:17">
      <c r="A221" s="1">
        <f>IF(MAX($A$2:A220)=$B$1,"",MAX($A$2:A220)+1)</f>
        <v>218</v>
      </c>
      <c r="B221" s="2" t="e">
        <f>IF(COUNT($A221)=0,"",VLOOKUP($A221,'物料分类表 R22'!$B$2:$H$1090,C221*2,FALSE))</f>
        <v>#REF!</v>
      </c>
      <c r="C221" s="2" t="e">
        <f>SUMIFS('物料分类表 R22'!#REF!,'物料分类表 R22'!$B$2:$B$1090,A221)</f>
        <v>#REF!</v>
      </c>
      <c r="D221" s="2" t="e">
        <f>IF(COUNT($A221)=0,"",IF(VLOOKUP($A221,'物料分类表 R22'!$B$2:$H$1090,D$3*2,FALSE)=0,D220,VLOOKUP($A221,'物料分类表 R22'!$B$2:$H$1090,D$3*2,FALSE)))</f>
        <v>#REF!</v>
      </c>
      <c r="E221" s="1" t="e">
        <f t="shared" si="10"/>
        <v>#REF!</v>
      </c>
      <c r="F221" s="1" t="e">
        <f t="shared" si="11"/>
        <v>#REF!</v>
      </c>
      <c r="G221" s="1" t="e">
        <f t="shared" si="12"/>
        <v>#REF!</v>
      </c>
      <c r="P221" s="1" t="s">
        <v>2211</v>
      </c>
      <c r="Q221" s="2" t="s">
        <v>2212</v>
      </c>
    </row>
    <row r="222" customHeight="1" spans="1:17">
      <c r="A222" s="1">
        <f>IF(MAX($A$2:A221)=$B$1,"",MAX($A$2:A221)+1)</f>
        <v>219</v>
      </c>
      <c r="B222" s="2" t="e">
        <f>IF(COUNT($A222)=0,"",VLOOKUP($A222,'物料分类表 R22'!$B$2:$H$1090,C222*2,FALSE))</f>
        <v>#REF!</v>
      </c>
      <c r="C222" s="2" t="e">
        <f>SUMIFS('物料分类表 R22'!#REF!,'物料分类表 R22'!$B$2:$B$1090,A222)</f>
        <v>#REF!</v>
      </c>
      <c r="D222" s="2" t="e">
        <f>IF(COUNT($A222)=0,"",IF(VLOOKUP($A222,'物料分类表 R22'!$B$2:$H$1090,D$3*2,FALSE)=0,D221,VLOOKUP($A222,'物料分类表 R22'!$B$2:$H$1090,D$3*2,FALSE)))</f>
        <v>#REF!</v>
      </c>
      <c r="E222" s="1" t="e">
        <f t="shared" si="10"/>
        <v>#REF!</v>
      </c>
      <c r="F222" s="1" t="e">
        <f t="shared" si="11"/>
        <v>#REF!</v>
      </c>
      <c r="G222" s="1" t="e">
        <f t="shared" si="12"/>
        <v>#REF!</v>
      </c>
      <c r="P222" s="1" t="s">
        <v>2213</v>
      </c>
      <c r="Q222" s="2" t="s">
        <v>580</v>
      </c>
    </row>
    <row r="223" customHeight="1" spans="1:17">
      <c r="A223" s="1">
        <f>IF(MAX($A$2:A222)=$B$1,"",MAX($A$2:A222)+1)</f>
        <v>220</v>
      </c>
      <c r="B223" s="2" t="e">
        <f>IF(COUNT($A223)=0,"",VLOOKUP($A223,'物料分类表 R22'!$B$2:$H$1090,C223*2,FALSE))</f>
        <v>#REF!</v>
      </c>
      <c r="C223" s="2" t="e">
        <f>SUMIFS('物料分类表 R22'!#REF!,'物料分类表 R22'!$B$2:$B$1090,A223)</f>
        <v>#REF!</v>
      </c>
      <c r="D223" s="2" t="e">
        <f>IF(COUNT($A223)=0,"",IF(VLOOKUP($A223,'物料分类表 R22'!$B$2:$H$1090,D$3*2,FALSE)=0,D222,VLOOKUP($A223,'物料分类表 R22'!$B$2:$H$1090,D$3*2,FALSE)))</f>
        <v>#REF!</v>
      </c>
      <c r="E223" s="1" t="e">
        <f t="shared" si="10"/>
        <v>#REF!</v>
      </c>
      <c r="F223" s="1" t="e">
        <f t="shared" si="11"/>
        <v>#REF!</v>
      </c>
      <c r="G223" s="1" t="e">
        <f t="shared" si="12"/>
        <v>#REF!</v>
      </c>
      <c r="P223" s="1" t="s">
        <v>2214</v>
      </c>
      <c r="Q223" s="2" t="s">
        <v>439</v>
      </c>
    </row>
    <row r="224" customHeight="1" spans="1:17">
      <c r="A224" s="1">
        <f>IF(MAX($A$2:A223)=$B$1,"",MAX($A$2:A223)+1)</f>
        <v>221</v>
      </c>
      <c r="B224" s="2" t="e">
        <f>IF(COUNT($A224)=0,"",VLOOKUP($A224,'物料分类表 R22'!$B$2:$H$1090,C224*2,FALSE))</f>
        <v>#REF!</v>
      </c>
      <c r="C224" s="2" t="e">
        <f>SUMIFS('物料分类表 R22'!#REF!,'物料分类表 R22'!$B$2:$B$1090,A224)</f>
        <v>#REF!</v>
      </c>
      <c r="D224" s="2" t="e">
        <f>IF(COUNT($A224)=0,"",IF(VLOOKUP($A224,'物料分类表 R22'!$B$2:$H$1090,D$3*2,FALSE)=0,D223,VLOOKUP($A224,'物料分类表 R22'!$B$2:$H$1090,D$3*2,FALSE)))</f>
        <v>#REF!</v>
      </c>
      <c r="E224" s="1" t="e">
        <f t="shared" si="10"/>
        <v>#REF!</v>
      </c>
      <c r="F224" s="1" t="e">
        <f t="shared" si="11"/>
        <v>#REF!</v>
      </c>
      <c r="G224" s="1" t="e">
        <f t="shared" si="12"/>
        <v>#REF!</v>
      </c>
      <c r="P224" s="1" t="s">
        <v>2215</v>
      </c>
      <c r="Q224" s="2" t="s">
        <v>437</v>
      </c>
    </row>
    <row r="225" customHeight="1" spans="1:17">
      <c r="A225" s="1">
        <f>IF(MAX($A$2:A224)=$B$1,"",MAX($A$2:A224)+1)</f>
        <v>222</v>
      </c>
      <c r="B225" s="2" t="e">
        <f>IF(COUNT($A225)=0,"",VLOOKUP($A225,'物料分类表 R22'!$B$2:$H$1090,C225*2,FALSE))</f>
        <v>#REF!</v>
      </c>
      <c r="C225" s="2" t="e">
        <f>SUMIFS('物料分类表 R22'!#REF!,'物料分类表 R22'!$B$2:$B$1090,A225)</f>
        <v>#REF!</v>
      </c>
      <c r="D225" s="2" t="e">
        <f>IF(COUNT($A225)=0,"",IF(VLOOKUP($A225,'物料分类表 R22'!$B$2:$H$1090,D$3*2,FALSE)=0,D224,VLOOKUP($A225,'物料分类表 R22'!$B$2:$H$1090,D$3*2,FALSE)))</f>
        <v>#REF!</v>
      </c>
      <c r="E225" s="1" t="e">
        <f t="shared" si="10"/>
        <v>#REF!</v>
      </c>
      <c r="F225" s="1" t="e">
        <f t="shared" si="11"/>
        <v>#REF!</v>
      </c>
      <c r="G225" s="1" t="e">
        <f t="shared" si="12"/>
        <v>#REF!</v>
      </c>
      <c r="P225" s="1" t="s">
        <v>2216</v>
      </c>
      <c r="Q225" s="2" t="s">
        <v>435</v>
      </c>
    </row>
    <row r="226" customHeight="1" spans="1:17">
      <c r="A226" s="1">
        <f>IF(MAX($A$2:A225)=$B$1,"",MAX($A$2:A225)+1)</f>
        <v>223</v>
      </c>
      <c r="B226" s="2" t="e">
        <f>IF(COUNT($A226)=0,"",VLOOKUP($A226,'物料分类表 R22'!$B$2:$H$1090,C226*2,FALSE))</f>
        <v>#REF!</v>
      </c>
      <c r="C226" s="2" t="e">
        <f>SUMIFS('物料分类表 R22'!#REF!,'物料分类表 R22'!$B$2:$B$1090,A226)</f>
        <v>#REF!</v>
      </c>
      <c r="D226" s="2" t="e">
        <f>IF(COUNT($A226)=0,"",IF(VLOOKUP($A226,'物料分类表 R22'!$B$2:$H$1090,D$3*2,FALSE)=0,D225,VLOOKUP($A226,'物料分类表 R22'!$B$2:$H$1090,D$3*2,FALSE)))</f>
        <v>#REF!</v>
      </c>
      <c r="E226" s="1" t="e">
        <f t="shared" si="10"/>
        <v>#REF!</v>
      </c>
      <c r="F226" s="1" t="e">
        <f t="shared" si="11"/>
        <v>#REF!</v>
      </c>
      <c r="G226" s="1" t="e">
        <f t="shared" si="12"/>
        <v>#REF!</v>
      </c>
      <c r="P226" s="1" t="s">
        <v>2217</v>
      </c>
      <c r="Q226" s="2" t="s">
        <v>431</v>
      </c>
    </row>
    <row r="227" customHeight="1" spans="1:17">
      <c r="A227" s="1">
        <f>IF(MAX($A$2:A226)=$B$1,"",MAX($A$2:A226)+1)</f>
        <v>224</v>
      </c>
      <c r="B227" s="2" t="e">
        <f>IF(COUNT($A227)=0,"",VLOOKUP($A227,'物料分类表 R22'!$B$2:$H$1090,C227*2,FALSE))</f>
        <v>#REF!</v>
      </c>
      <c r="C227" s="2" t="e">
        <f>SUMIFS('物料分类表 R22'!#REF!,'物料分类表 R22'!$B$2:$B$1090,A227)</f>
        <v>#REF!</v>
      </c>
      <c r="D227" s="2" t="e">
        <f>IF(COUNT($A227)=0,"",IF(VLOOKUP($A227,'物料分类表 R22'!$B$2:$H$1090,D$3*2,FALSE)=0,D226,VLOOKUP($A227,'物料分类表 R22'!$B$2:$H$1090,D$3*2,FALSE)))</f>
        <v>#REF!</v>
      </c>
      <c r="E227" s="1" t="e">
        <f t="shared" si="10"/>
        <v>#REF!</v>
      </c>
      <c r="F227" s="1" t="e">
        <f t="shared" si="11"/>
        <v>#REF!</v>
      </c>
      <c r="G227" s="1" t="e">
        <f t="shared" si="12"/>
        <v>#REF!</v>
      </c>
      <c r="P227" s="1" t="s">
        <v>2218</v>
      </c>
      <c r="Q227" s="2" t="s">
        <v>429</v>
      </c>
    </row>
    <row r="228" customHeight="1" spans="1:17">
      <c r="A228" s="1">
        <f>IF(MAX($A$2:A227)=$B$1,"",MAX($A$2:A227)+1)</f>
        <v>225</v>
      </c>
      <c r="B228" s="2" t="e">
        <f>IF(COUNT($A228)=0,"",VLOOKUP($A228,'物料分类表 R22'!$B$2:$H$1090,C228*2,FALSE))</f>
        <v>#REF!</v>
      </c>
      <c r="C228" s="2" t="e">
        <f>SUMIFS('物料分类表 R22'!#REF!,'物料分类表 R22'!$B$2:$B$1090,A228)</f>
        <v>#REF!</v>
      </c>
      <c r="D228" s="2" t="e">
        <f>IF(COUNT($A228)=0,"",IF(VLOOKUP($A228,'物料分类表 R22'!$B$2:$H$1090,D$3*2,FALSE)=0,D227,VLOOKUP($A228,'物料分类表 R22'!$B$2:$H$1090,D$3*2,FALSE)))</f>
        <v>#REF!</v>
      </c>
      <c r="E228" s="1" t="e">
        <f t="shared" si="10"/>
        <v>#REF!</v>
      </c>
      <c r="F228" s="1" t="e">
        <f t="shared" si="11"/>
        <v>#REF!</v>
      </c>
      <c r="G228" s="1" t="e">
        <f t="shared" si="12"/>
        <v>#REF!</v>
      </c>
      <c r="P228" s="1" t="s">
        <v>2219</v>
      </c>
      <c r="Q228" s="2" t="s">
        <v>433</v>
      </c>
    </row>
    <row r="229" customHeight="1" spans="1:17">
      <c r="A229" s="1">
        <f>IF(MAX($A$2:A228)=$B$1,"",MAX($A$2:A228)+1)</f>
        <v>226</v>
      </c>
      <c r="B229" s="2" t="e">
        <f>IF(COUNT($A229)=0,"",VLOOKUP($A229,'物料分类表 R22'!$B$2:$H$1090,C229*2,FALSE))</f>
        <v>#REF!</v>
      </c>
      <c r="C229" s="2" t="e">
        <f>SUMIFS('物料分类表 R22'!#REF!,'物料分类表 R22'!$B$2:$B$1090,A229)</f>
        <v>#REF!</v>
      </c>
      <c r="D229" s="2" t="e">
        <f>IF(COUNT($A229)=0,"",IF(VLOOKUP($A229,'物料分类表 R22'!$B$2:$H$1090,D$3*2,FALSE)=0,D228,VLOOKUP($A229,'物料分类表 R22'!$B$2:$H$1090,D$3*2,FALSE)))</f>
        <v>#REF!</v>
      </c>
      <c r="E229" s="1" t="e">
        <f t="shared" si="10"/>
        <v>#REF!</v>
      </c>
      <c r="F229" s="1" t="e">
        <f t="shared" si="11"/>
        <v>#REF!</v>
      </c>
      <c r="G229" s="1" t="e">
        <f t="shared" si="12"/>
        <v>#REF!</v>
      </c>
      <c r="P229" s="1" t="s">
        <v>2220</v>
      </c>
      <c r="Q229" s="2" t="s">
        <v>445</v>
      </c>
    </row>
    <row r="230" customHeight="1" spans="1:17">
      <c r="A230" s="1">
        <f>IF(MAX($A$2:A229)=$B$1,"",MAX($A$2:A229)+1)</f>
        <v>227</v>
      </c>
      <c r="B230" s="2" t="e">
        <f>IF(COUNT($A230)=0,"",VLOOKUP($A230,'物料分类表 R22'!$B$2:$H$1090,C230*2,FALSE))</f>
        <v>#REF!</v>
      </c>
      <c r="C230" s="2" t="e">
        <f>SUMIFS('物料分类表 R22'!#REF!,'物料分类表 R22'!$B$2:$B$1090,A230)</f>
        <v>#REF!</v>
      </c>
      <c r="D230" s="2" t="e">
        <f>IF(COUNT($A230)=0,"",IF(VLOOKUP($A230,'物料分类表 R22'!$B$2:$H$1090,D$3*2,FALSE)=0,D229,VLOOKUP($A230,'物料分类表 R22'!$B$2:$H$1090,D$3*2,FALSE)))</f>
        <v>#REF!</v>
      </c>
      <c r="E230" s="1" t="e">
        <f t="shared" si="10"/>
        <v>#REF!</v>
      </c>
      <c r="F230" s="1" t="e">
        <f t="shared" si="11"/>
        <v>#REF!</v>
      </c>
      <c r="G230" s="1" t="e">
        <f t="shared" si="12"/>
        <v>#REF!</v>
      </c>
      <c r="P230" s="1" t="s">
        <v>2221</v>
      </c>
      <c r="Q230" s="2" t="s">
        <v>441</v>
      </c>
    </row>
    <row r="231" customHeight="1" spans="1:17">
      <c r="A231" s="1">
        <f>IF(MAX($A$2:A230)=$B$1,"",MAX($A$2:A230)+1)</f>
        <v>228</v>
      </c>
      <c r="B231" s="2" t="e">
        <f>IF(COUNT($A231)=0,"",VLOOKUP($A231,'物料分类表 R22'!$B$2:$H$1090,C231*2,FALSE))</f>
        <v>#REF!</v>
      </c>
      <c r="C231" s="2" t="e">
        <f>SUMIFS('物料分类表 R22'!#REF!,'物料分类表 R22'!$B$2:$B$1090,A231)</f>
        <v>#REF!</v>
      </c>
      <c r="D231" s="2" t="e">
        <f>IF(COUNT($A231)=0,"",IF(VLOOKUP($A231,'物料分类表 R22'!$B$2:$H$1090,D$3*2,FALSE)=0,D230,VLOOKUP($A231,'物料分类表 R22'!$B$2:$H$1090,D$3*2,FALSE)))</f>
        <v>#REF!</v>
      </c>
      <c r="E231" s="1" t="e">
        <f t="shared" si="10"/>
        <v>#REF!</v>
      </c>
      <c r="F231" s="1" t="e">
        <f t="shared" si="11"/>
        <v>#REF!</v>
      </c>
      <c r="G231" s="1" t="e">
        <f t="shared" si="12"/>
        <v>#REF!</v>
      </c>
      <c r="P231" s="1" t="s">
        <v>2222</v>
      </c>
      <c r="Q231" s="2" t="s">
        <v>443</v>
      </c>
    </row>
    <row r="232" customHeight="1" spans="1:17">
      <c r="A232" s="1">
        <f>IF(MAX($A$2:A231)=$B$1,"",MAX($A$2:A231)+1)</f>
        <v>229</v>
      </c>
      <c r="B232" s="2" t="e">
        <f>IF(COUNT($A232)=0,"",VLOOKUP($A232,'物料分类表 R22'!$B$2:$H$1090,C232*2,FALSE))</f>
        <v>#REF!</v>
      </c>
      <c r="C232" s="2" t="e">
        <f>SUMIFS('物料分类表 R22'!#REF!,'物料分类表 R22'!$B$2:$B$1090,A232)</f>
        <v>#REF!</v>
      </c>
      <c r="D232" s="2" t="e">
        <f>IF(COUNT($A232)=0,"",IF(VLOOKUP($A232,'物料分类表 R22'!$B$2:$H$1090,D$3*2,FALSE)=0,D231,VLOOKUP($A232,'物料分类表 R22'!$B$2:$H$1090,D$3*2,FALSE)))</f>
        <v>#REF!</v>
      </c>
      <c r="E232" s="1" t="e">
        <f t="shared" si="10"/>
        <v>#REF!</v>
      </c>
      <c r="F232" s="1" t="e">
        <f t="shared" si="11"/>
        <v>#REF!</v>
      </c>
      <c r="G232" s="1" t="e">
        <f t="shared" si="12"/>
        <v>#REF!</v>
      </c>
      <c r="P232" s="1" t="s">
        <v>2223</v>
      </c>
      <c r="Q232" s="2" t="s">
        <v>2224</v>
      </c>
    </row>
    <row r="233" customHeight="1" spans="1:17">
      <c r="A233" s="1">
        <f>IF(MAX($A$2:A232)=$B$1,"",MAX($A$2:A232)+1)</f>
        <v>230</v>
      </c>
      <c r="B233" s="2" t="e">
        <f>IF(COUNT($A233)=0,"",VLOOKUP($A233,'物料分类表 R22'!$B$2:$H$1090,C233*2,FALSE))</f>
        <v>#REF!</v>
      </c>
      <c r="C233" s="2" t="e">
        <f>SUMIFS('物料分类表 R22'!#REF!,'物料分类表 R22'!$B$2:$B$1090,A233)</f>
        <v>#REF!</v>
      </c>
      <c r="D233" s="2" t="e">
        <f>IF(COUNT($A233)=0,"",IF(VLOOKUP($A233,'物料分类表 R22'!$B$2:$H$1090,D$3*2,FALSE)=0,D232,VLOOKUP($A233,'物料分类表 R22'!$B$2:$H$1090,D$3*2,FALSE)))</f>
        <v>#REF!</v>
      </c>
      <c r="E233" s="1" t="e">
        <f t="shared" si="10"/>
        <v>#REF!</v>
      </c>
      <c r="F233" s="1" t="e">
        <f t="shared" si="11"/>
        <v>#REF!</v>
      </c>
      <c r="G233" s="1" t="e">
        <f t="shared" si="12"/>
        <v>#REF!</v>
      </c>
      <c r="P233" s="1" t="s">
        <v>2223</v>
      </c>
      <c r="Q233" s="2" t="s">
        <v>2225</v>
      </c>
    </row>
    <row r="234" customHeight="1" spans="1:17">
      <c r="A234" s="1">
        <f>IF(MAX($A$2:A233)=$B$1,"",MAX($A$2:A233)+1)</f>
        <v>231</v>
      </c>
      <c r="B234" s="2" t="e">
        <f>IF(COUNT($A234)=0,"",VLOOKUP($A234,'物料分类表 R22'!$B$2:$H$1090,C234*2,FALSE))</f>
        <v>#REF!</v>
      </c>
      <c r="C234" s="2" t="e">
        <f>SUMIFS('物料分类表 R22'!#REF!,'物料分类表 R22'!$B$2:$B$1090,A234)</f>
        <v>#REF!</v>
      </c>
      <c r="D234" s="2" t="e">
        <f>IF(COUNT($A234)=0,"",IF(VLOOKUP($A234,'物料分类表 R22'!$B$2:$H$1090,D$3*2,FALSE)=0,D233,VLOOKUP($A234,'物料分类表 R22'!$B$2:$H$1090,D$3*2,FALSE)))</f>
        <v>#REF!</v>
      </c>
      <c r="E234" s="1" t="e">
        <f t="shared" si="10"/>
        <v>#REF!</v>
      </c>
      <c r="F234" s="1" t="e">
        <f t="shared" si="11"/>
        <v>#REF!</v>
      </c>
      <c r="G234" s="1" t="e">
        <f t="shared" si="12"/>
        <v>#REF!</v>
      </c>
      <c r="P234" s="1" t="s">
        <v>2223</v>
      </c>
      <c r="Q234" s="2" t="s">
        <v>2226</v>
      </c>
    </row>
    <row r="235" customHeight="1" spans="1:17">
      <c r="A235" s="1">
        <f>IF(MAX($A$2:A234)=$B$1,"",MAX($A$2:A234)+1)</f>
        <v>232</v>
      </c>
      <c r="B235" s="2" t="e">
        <f>IF(COUNT($A235)=0,"",VLOOKUP($A235,'物料分类表 R22'!$B$2:$H$1090,C235*2,FALSE))</f>
        <v>#REF!</v>
      </c>
      <c r="C235" s="2" t="e">
        <f>SUMIFS('物料分类表 R22'!#REF!,'物料分类表 R22'!$B$2:$B$1090,A235)</f>
        <v>#REF!</v>
      </c>
      <c r="D235" s="2" t="e">
        <f>IF(COUNT($A235)=0,"",IF(VLOOKUP($A235,'物料分类表 R22'!$B$2:$H$1090,D$3*2,FALSE)=0,D234,VLOOKUP($A235,'物料分类表 R22'!$B$2:$H$1090,D$3*2,FALSE)))</f>
        <v>#REF!</v>
      </c>
      <c r="E235" s="1" t="e">
        <f t="shared" ref="E235:E298" si="13">IF(COUNT($A235)=0,"",VLOOKUP(MID($D235,1,1),$P:$Q,2,FALSE))</f>
        <v>#REF!</v>
      </c>
      <c r="F235" s="1" t="e">
        <f t="shared" ref="F235:F298" si="14">IF(COUNT($A235)=0,"",VLOOKUP(MID($D235,1,2),$P:$Q,2,FALSE))</f>
        <v>#REF!</v>
      </c>
      <c r="G235" s="1" t="e">
        <f t="shared" ref="G235:G298" si="15">IF(COUNT($A235)=0,"",IF(C235=4,IF(COUNT($A235)=0,"",VLOOKUP(MID($D235,1,3),$P:$Q,2,FALSE)),""))</f>
        <v>#REF!</v>
      </c>
      <c r="P235" s="1" t="s">
        <v>2223</v>
      </c>
      <c r="Q235" s="2" t="s">
        <v>2227</v>
      </c>
    </row>
    <row r="236" customHeight="1" spans="1:17">
      <c r="A236" s="1">
        <f>IF(MAX($A$2:A235)=$B$1,"",MAX($A$2:A235)+1)</f>
        <v>233</v>
      </c>
      <c r="B236" s="2" t="e">
        <f>IF(COUNT($A236)=0,"",VLOOKUP($A236,'物料分类表 R22'!$B$2:$H$1090,C236*2,FALSE))</f>
        <v>#REF!</v>
      </c>
      <c r="C236" s="2" t="e">
        <f>SUMIFS('物料分类表 R22'!#REF!,'物料分类表 R22'!$B$2:$B$1090,A236)</f>
        <v>#REF!</v>
      </c>
      <c r="D236" s="2" t="e">
        <f>IF(COUNT($A236)=0,"",IF(VLOOKUP($A236,'物料分类表 R22'!$B$2:$H$1090,D$3*2,FALSE)=0,D235,VLOOKUP($A236,'物料分类表 R22'!$B$2:$H$1090,D$3*2,FALSE)))</f>
        <v>#REF!</v>
      </c>
      <c r="E236" s="1" t="e">
        <f t="shared" si="13"/>
        <v>#REF!</v>
      </c>
      <c r="F236" s="1" t="e">
        <f t="shared" si="14"/>
        <v>#REF!</v>
      </c>
      <c r="G236" s="1" t="e">
        <f t="shared" si="15"/>
        <v>#REF!</v>
      </c>
      <c r="P236" s="1" t="s">
        <v>2223</v>
      </c>
      <c r="Q236" s="2" t="s">
        <v>2228</v>
      </c>
    </row>
    <row r="237" customHeight="1" spans="1:17">
      <c r="A237" s="1">
        <f>IF(MAX($A$2:A236)=$B$1,"",MAX($A$2:A236)+1)</f>
        <v>234</v>
      </c>
      <c r="B237" s="2" t="e">
        <f>IF(COUNT($A237)=0,"",VLOOKUP($A237,'物料分类表 R22'!$B$2:$H$1090,C237*2,FALSE))</f>
        <v>#REF!</v>
      </c>
      <c r="C237" s="2" t="e">
        <f>SUMIFS('物料分类表 R22'!#REF!,'物料分类表 R22'!$B$2:$B$1090,A237)</f>
        <v>#REF!</v>
      </c>
      <c r="D237" s="2" t="e">
        <f>IF(COUNT($A237)=0,"",IF(VLOOKUP($A237,'物料分类表 R22'!$B$2:$H$1090,D$3*2,FALSE)=0,D236,VLOOKUP($A237,'物料分类表 R22'!$B$2:$H$1090,D$3*2,FALSE)))</f>
        <v>#REF!</v>
      </c>
      <c r="E237" s="1" t="e">
        <f t="shared" si="13"/>
        <v>#REF!</v>
      </c>
      <c r="F237" s="1" t="e">
        <f t="shared" si="14"/>
        <v>#REF!</v>
      </c>
      <c r="G237" s="1" t="e">
        <f t="shared" si="15"/>
        <v>#REF!</v>
      </c>
      <c r="P237" s="1" t="s">
        <v>2223</v>
      </c>
      <c r="Q237" s="2" t="s">
        <v>2229</v>
      </c>
    </row>
    <row r="238" customHeight="1" spans="1:17">
      <c r="A238" s="1">
        <f>IF(MAX($A$2:A237)=$B$1,"",MAX($A$2:A237)+1)</f>
        <v>235</v>
      </c>
      <c r="B238" s="2" t="e">
        <f>IF(COUNT($A238)=0,"",VLOOKUP($A238,'物料分类表 R22'!$B$2:$H$1090,C238*2,FALSE))</f>
        <v>#REF!</v>
      </c>
      <c r="C238" s="2" t="e">
        <f>SUMIFS('物料分类表 R22'!#REF!,'物料分类表 R22'!$B$2:$B$1090,A238)</f>
        <v>#REF!</v>
      </c>
      <c r="D238" s="2" t="e">
        <f>IF(COUNT($A238)=0,"",IF(VLOOKUP($A238,'物料分类表 R22'!$B$2:$H$1090,D$3*2,FALSE)=0,D237,VLOOKUP($A238,'物料分类表 R22'!$B$2:$H$1090,D$3*2,FALSE)))</f>
        <v>#REF!</v>
      </c>
      <c r="E238" s="1" t="e">
        <f t="shared" si="13"/>
        <v>#REF!</v>
      </c>
      <c r="F238" s="1" t="e">
        <f t="shared" si="14"/>
        <v>#REF!</v>
      </c>
      <c r="G238" s="1" t="e">
        <f t="shared" si="15"/>
        <v>#REF!</v>
      </c>
      <c r="P238" s="1" t="s">
        <v>2223</v>
      </c>
      <c r="Q238" s="2" t="s">
        <v>2230</v>
      </c>
    </row>
    <row r="239" customHeight="1" spans="1:17">
      <c r="A239" s="1">
        <f>IF(MAX($A$2:A238)=$B$1,"",MAX($A$2:A238)+1)</f>
        <v>236</v>
      </c>
      <c r="B239" s="2" t="e">
        <f>IF(COUNT($A239)=0,"",VLOOKUP($A239,'物料分类表 R22'!$B$2:$H$1090,C239*2,FALSE))</f>
        <v>#REF!</v>
      </c>
      <c r="C239" s="2" t="e">
        <f>SUMIFS('物料分类表 R22'!#REF!,'物料分类表 R22'!$B$2:$B$1090,A239)</f>
        <v>#REF!</v>
      </c>
      <c r="D239" s="2" t="e">
        <f>IF(COUNT($A239)=0,"",IF(VLOOKUP($A239,'物料分类表 R22'!$B$2:$H$1090,D$3*2,FALSE)=0,D238,VLOOKUP($A239,'物料分类表 R22'!$B$2:$H$1090,D$3*2,FALSE)))</f>
        <v>#REF!</v>
      </c>
      <c r="E239" s="1" t="e">
        <f t="shared" si="13"/>
        <v>#REF!</v>
      </c>
      <c r="F239" s="1" t="e">
        <f t="shared" si="14"/>
        <v>#REF!</v>
      </c>
      <c r="G239" s="1" t="e">
        <f t="shared" si="15"/>
        <v>#REF!</v>
      </c>
      <c r="P239" s="1" t="s">
        <v>2223</v>
      </c>
      <c r="Q239" s="2" t="s">
        <v>2231</v>
      </c>
    </row>
    <row r="240" customHeight="1" spans="1:17">
      <c r="A240" s="1">
        <f>IF(MAX($A$2:A239)=$B$1,"",MAX($A$2:A239)+1)</f>
        <v>237</v>
      </c>
      <c r="B240" s="2" t="e">
        <f>IF(COUNT($A240)=0,"",VLOOKUP($A240,'物料分类表 R22'!$B$2:$H$1090,C240*2,FALSE))</f>
        <v>#REF!</v>
      </c>
      <c r="C240" s="2" t="e">
        <f>SUMIFS('物料分类表 R22'!#REF!,'物料分类表 R22'!$B$2:$B$1090,A240)</f>
        <v>#REF!</v>
      </c>
      <c r="D240" s="2" t="e">
        <f>IF(COUNT($A240)=0,"",IF(VLOOKUP($A240,'物料分类表 R22'!$B$2:$H$1090,D$3*2,FALSE)=0,D239,VLOOKUP($A240,'物料分类表 R22'!$B$2:$H$1090,D$3*2,FALSE)))</f>
        <v>#REF!</v>
      </c>
      <c r="E240" s="1" t="e">
        <f t="shared" si="13"/>
        <v>#REF!</v>
      </c>
      <c r="F240" s="1" t="e">
        <f t="shared" si="14"/>
        <v>#REF!</v>
      </c>
      <c r="G240" s="1" t="e">
        <f t="shared" si="15"/>
        <v>#REF!</v>
      </c>
      <c r="P240" s="1" t="s">
        <v>2223</v>
      </c>
      <c r="Q240" s="2" t="s">
        <v>2232</v>
      </c>
    </row>
    <row r="241" customHeight="1" spans="1:17">
      <c r="A241" s="1">
        <f>IF(MAX($A$2:A240)=$B$1,"",MAX($A$2:A240)+1)</f>
        <v>238</v>
      </c>
      <c r="B241" s="2" t="e">
        <f>IF(COUNT($A241)=0,"",VLOOKUP($A241,'物料分类表 R22'!$B$2:$H$1090,C241*2,FALSE))</f>
        <v>#REF!</v>
      </c>
      <c r="C241" s="2" t="e">
        <f>SUMIFS('物料分类表 R22'!#REF!,'物料分类表 R22'!$B$2:$B$1090,A241)</f>
        <v>#REF!</v>
      </c>
      <c r="D241" s="2" t="e">
        <f>IF(COUNT($A241)=0,"",IF(VLOOKUP($A241,'物料分类表 R22'!$B$2:$H$1090,D$3*2,FALSE)=0,D240,VLOOKUP($A241,'物料分类表 R22'!$B$2:$H$1090,D$3*2,FALSE)))</f>
        <v>#REF!</v>
      </c>
      <c r="E241" s="1" t="e">
        <f t="shared" si="13"/>
        <v>#REF!</v>
      </c>
      <c r="F241" s="1" t="e">
        <f t="shared" si="14"/>
        <v>#REF!</v>
      </c>
      <c r="G241" s="1" t="e">
        <f t="shared" si="15"/>
        <v>#REF!</v>
      </c>
      <c r="P241" s="1" t="s">
        <v>2233</v>
      </c>
      <c r="Q241" s="2" t="s">
        <v>676</v>
      </c>
    </row>
    <row r="242" customHeight="1" spans="1:17">
      <c r="A242" s="1">
        <f>IF(MAX($A$2:A241)=$B$1,"",MAX($A$2:A241)+1)</f>
        <v>239</v>
      </c>
      <c r="B242" s="2" t="e">
        <f>IF(COUNT($A242)=0,"",VLOOKUP($A242,'物料分类表 R22'!$B$2:$H$1090,C242*2,FALSE))</f>
        <v>#REF!</v>
      </c>
      <c r="C242" s="2" t="e">
        <f>SUMIFS('物料分类表 R22'!#REF!,'物料分类表 R22'!$B$2:$B$1090,A242)</f>
        <v>#REF!</v>
      </c>
      <c r="D242" s="2" t="e">
        <f>IF(COUNT($A242)=0,"",IF(VLOOKUP($A242,'物料分类表 R22'!$B$2:$H$1090,D$3*2,FALSE)=0,D241,VLOOKUP($A242,'物料分类表 R22'!$B$2:$H$1090,D$3*2,FALSE)))</f>
        <v>#REF!</v>
      </c>
      <c r="E242" s="1" t="e">
        <f t="shared" si="13"/>
        <v>#REF!</v>
      </c>
      <c r="F242" s="1" t="e">
        <f t="shared" si="14"/>
        <v>#REF!</v>
      </c>
      <c r="G242" s="1" t="e">
        <f t="shared" si="15"/>
        <v>#REF!</v>
      </c>
      <c r="P242" s="1" t="s">
        <v>2234</v>
      </c>
      <c r="Q242" s="2" t="s">
        <v>678</v>
      </c>
    </row>
    <row r="243" customHeight="1" spans="1:17">
      <c r="A243" s="1">
        <f>IF(MAX($A$2:A242)=$B$1,"",MAX($A$2:A242)+1)</f>
        <v>240</v>
      </c>
      <c r="B243" s="2" t="e">
        <f>IF(COUNT($A243)=0,"",VLOOKUP($A243,'物料分类表 R22'!$B$2:$H$1090,C243*2,FALSE))</f>
        <v>#REF!</v>
      </c>
      <c r="C243" s="2" t="e">
        <f>SUMIFS('物料分类表 R22'!#REF!,'物料分类表 R22'!$B$2:$B$1090,A243)</f>
        <v>#REF!</v>
      </c>
      <c r="D243" s="2" t="e">
        <f>IF(COUNT($A243)=0,"",IF(VLOOKUP($A243,'物料分类表 R22'!$B$2:$H$1090,D$3*2,FALSE)=0,D242,VLOOKUP($A243,'物料分类表 R22'!$B$2:$H$1090,D$3*2,FALSE)))</f>
        <v>#REF!</v>
      </c>
      <c r="E243" s="1" t="e">
        <f t="shared" si="13"/>
        <v>#REF!</v>
      </c>
      <c r="F243" s="1" t="e">
        <f t="shared" si="14"/>
        <v>#REF!</v>
      </c>
      <c r="G243" s="1" t="e">
        <f t="shared" si="15"/>
        <v>#REF!</v>
      </c>
      <c r="P243" s="1" t="s">
        <v>2235</v>
      </c>
      <c r="Q243" s="2" t="s">
        <v>680</v>
      </c>
    </row>
    <row r="244" customHeight="1" spans="1:17">
      <c r="A244" s="1">
        <f>IF(MAX($A$2:A243)=$B$1,"",MAX($A$2:A243)+1)</f>
        <v>241</v>
      </c>
      <c r="B244" s="2" t="e">
        <f>IF(COUNT($A244)=0,"",VLOOKUP($A244,'物料分类表 R22'!$B$2:$H$1090,C244*2,FALSE))</f>
        <v>#REF!</v>
      </c>
      <c r="C244" s="2" t="e">
        <f>SUMIFS('物料分类表 R22'!#REF!,'物料分类表 R22'!$B$2:$B$1090,A244)</f>
        <v>#REF!</v>
      </c>
      <c r="D244" s="2" t="e">
        <f>IF(COUNT($A244)=0,"",IF(VLOOKUP($A244,'物料分类表 R22'!$B$2:$H$1090,D$3*2,FALSE)=0,D243,VLOOKUP($A244,'物料分类表 R22'!$B$2:$H$1090,D$3*2,FALSE)))</f>
        <v>#REF!</v>
      </c>
      <c r="E244" s="1" t="e">
        <f t="shared" si="13"/>
        <v>#REF!</v>
      </c>
      <c r="F244" s="1" t="e">
        <f t="shared" si="14"/>
        <v>#REF!</v>
      </c>
      <c r="G244" s="1" t="e">
        <f t="shared" si="15"/>
        <v>#REF!</v>
      </c>
      <c r="P244" s="1" t="s">
        <v>2236</v>
      </c>
      <c r="Q244" s="2" t="s">
        <v>682</v>
      </c>
    </row>
    <row r="245" customHeight="1" spans="1:17">
      <c r="A245" s="1">
        <f>IF(MAX($A$2:A244)=$B$1,"",MAX($A$2:A244)+1)</f>
        <v>242</v>
      </c>
      <c r="B245" s="2" t="e">
        <f>IF(COUNT($A245)=0,"",VLOOKUP($A245,'物料分类表 R22'!$B$2:$H$1090,C245*2,FALSE))</f>
        <v>#REF!</v>
      </c>
      <c r="C245" s="2" t="e">
        <f>SUMIFS('物料分类表 R22'!#REF!,'物料分类表 R22'!$B$2:$B$1090,A245)</f>
        <v>#REF!</v>
      </c>
      <c r="D245" s="2" t="e">
        <f>IF(COUNT($A245)=0,"",IF(VLOOKUP($A245,'物料分类表 R22'!$B$2:$H$1090,D$3*2,FALSE)=0,D244,VLOOKUP($A245,'物料分类表 R22'!$B$2:$H$1090,D$3*2,FALSE)))</f>
        <v>#REF!</v>
      </c>
      <c r="E245" s="1" t="e">
        <f t="shared" si="13"/>
        <v>#REF!</v>
      </c>
      <c r="F245" s="1" t="e">
        <f t="shared" si="14"/>
        <v>#REF!</v>
      </c>
      <c r="G245" s="1" t="e">
        <f t="shared" si="15"/>
        <v>#REF!</v>
      </c>
      <c r="P245" s="1" t="s">
        <v>2237</v>
      </c>
      <c r="Q245" s="2" t="s">
        <v>684</v>
      </c>
    </row>
    <row r="246" customHeight="1" spans="1:17">
      <c r="A246" s="1">
        <f>IF(MAX($A$2:A245)=$B$1,"",MAX($A$2:A245)+1)</f>
        <v>243</v>
      </c>
      <c r="B246" s="2" t="e">
        <f>IF(COUNT($A246)=0,"",VLOOKUP($A246,'物料分类表 R22'!$B$2:$H$1090,C246*2,FALSE))</f>
        <v>#REF!</v>
      </c>
      <c r="C246" s="2" t="e">
        <f>SUMIFS('物料分类表 R22'!#REF!,'物料分类表 R22'!$B$2:$B$1090,A246)</f>
        <v>#REF!</v>
      </c>
      <c r="D246" s="2" t="e">
        <f>IF(COUNT($A246)=0,"",IF(VLOOKUP($A246,'物料分类表 R22'!$B$2:$H$1090,D$3*2,FALSE)=0,D245,VLOOKUP($A246,'物料分类表 R22'!$B$2:$H$1090,D$3*2,FALSE)))</f>
        <v>#REF!</v>
      </c>
      <c r="E246" s="1" t="e">
        <f t="shared" si="13"/>
        <v>#REF!</v>
      </c>
      <c r="F246" s="1" t="e">
        <f t="shared" si="14"/>
        <v>#REF!</v>
      </c>
      <c r="G246" s="1" t="e">
        <f t="shared" si="15"/>
        <v>#REF!</v>
      </c>
      <c r="P246" s="1" t="s">
        <v>2238</v>
      </c>
      <c r="Q246" s="2" t="s">
        <v>686</v>
      </c>
    </row>
    <row r="247" customHeight="1" spans="1:17">
      <c r="A247" s="1">
        <f>IF(MAX($A$2:A246)=$B$1,"",MAX($A$2:A246)+1)</f>
        <v>244</v>
      </c>
      <c r="B247" s="2" t="e">
        <f>IF(COUNT($A247)=0,"",VLOOKUP($A247,'物料分类表 R22'!$B$2:$H$1090,C247*2,FALSE))</f>
        <v>#REF!</v>
      </c>
      <c r="C247" s="2" t="e">
        <f>SUMIFS('物料分类表 R22'!#REF!,'物料分类表 R22'!$B$2:$B$1090,A247)</f>
        <v>#REF!</v>
      </c>
      <c r="D247" s="2" t="e">
        <f>IF(COUNT($A247)=0,"",IF(VLOOKUP($A247,'物料分类表 R22'!$B$2:$H$1090,D$3*2,FALSE)=0,D246,VLOOKUP($A247,'物料分类表 R22'!$B$2:$H$1090,D$3*2,FALSE)))</f>
        <v>#REF!</v>
      </c>
      <c r="E247" s="1" t="e">
        <f t="shared" si="13"/>
        <v>#REF!</v>
      </c>
      <c r="F247" s="1" t="e">
        <f t="shared" si="14"/>
        <v>#REF!</v>
      </c>
      <c r="G247" s="1" t="e">
        <f t="shared" si="15"/>
        <v>#REF!</v>
      </c>
      <c r="P247" s="1" t="s">
        <v>2239</v>
      </c>
      <c r="Q247" s="2" t="s">
        <v>688</v>
      </c>
    </row>
    <row r="248" customHeight="1" spans="1:17">
      <c r="A248" s="1">
        <f>IF(MAX($A$2:A247)=$B$1,"",MAX($A$2:A247)+1)</f>
        <v>245</v>
      </c>
      <c r="B248" s="2" t="e">
        <f>IF(COUNT($A248)=0,"",VLOOKUP($A248,'物料分类表 R22'!$B$2:$H$1090,C248*2,FALSE))</f>
        <v>#REF!</v>
      </c>
      <c r="C248" s="2" t="e">
        <f>SUMIFS('物料分类表 R22'!#REF!,'物料分类表 R22'!$B$2:$B$1090,A248)</f>
        <v>#REF!</v>
      </c>
      <c r="D248" s="2" t="e">
        <f>IF(COUNT($A248)=0,"",IF(VLOOKUP($A248,'物料分类表 R22'!$B$2:$H$1090,D$3*2,FALSE)=0,D247,VLOOKUP($A248,'物料分类表 R22'!$B$2:$H$1090,D$3*2,FALSE)))</f>
        <v>#REF!</v>
      </c>
      <c r="E248" s="1" t="e">
        <f t="shared" si="13"/>
        <v>#REF!</v>
      </c>
      <c r="F248" s="1" t="e">
        <f t="shared" si="14"/>
        <v>#REF!</v>
      </c>
      <c r="G248" s="1" t="e">
        <f t="shared" si="15"/>
        <v>#REF!</v>
      </c>
      <c r="P248" s="1" t="s">
        <v>2240</v>
      </c>
      <c r="Q248" s="2" t="s">
        <v>690</v>
      </c>
    </row>
    <row r="249" customHeight="1" spans="1:17">
      <c r="A249" s="1">
        <f>IF(MAX($A$2:A248)=$B$1,"",MAX($A$2:A248)+1)</f>
        <v>246</v>
      </c>
      <c r="B249" s="2" t="e">
        <f>IF(COUNT($A249)=0,"",VLOOKUP($A249,'物料分类表 R22'!$B$2:$H$1090,C249*2,FALSE))</f>
        <v>#REF!</v>
      </c>
      <c r="C249" s="2" t="e">
        <f>SUMIFS('物料分类表 R22'!#REF!,'物料分类表 R22'!$B$2:$B$1090,A249)</f>
        <v>#REF!</v>
      </c>
      <c r="D249" s="2" t="e">
        <f>IF(COUNT($A249)=0,"",IF(VLOOKUP($A249,'物料分类表 R22'!$B$2:$H$1090,D$3*2,FALSE)=0,D248,VLOOKUP($A249,'物料分类表 R22'!$B$2:$H$1090,D$3*2,FALSE)))</f>
        <v>#REF!</v>
      </c>
      <c r="E249" s="1" t="e">
        <f t="shared" si="13"/>
        <v>#REF!</v>
      </c>
      <c r="F249" s="1" t="e">
        <f t="shared" si="14"/>
        <v>#REF!</v>
      </c>
      <c r="G249" s="1" t="e">
        <f t="shared" si="15"/>
        <v>#REF!</v>
      </c>
      <c r="P249" s="1" t="s">
        <v>2241</v>
      </c>
      <c r="Q249" s="2" t="s">
        <v>692</v>
      </c>
    </row>
    <row r="250" customHeight="1" spans="1:17">
      <c r="A250" s="1">
        <f>IF(MAX($A$2:A249)=$B$1,"",MAX($A$2:A249)+1)</f>
        <v>247</v>
      </c>
      <c r="B250" s="2" t="e">
        <f>IF(COUNT($A250)=0,"",VLOOKUP($A250,'物料分类表 R22'!$B$2:$H$1090,C250*2,FALSE))</f>
        <v>#REF!</v>
      </c>
      <c r="C250" s="2" t="e">
        <f>SUMIFS('物料分类表 R22'!#REF!,'物料分类表 R22'!$B$2:$B$1090,A250)</f>
        <v>#REF!</v>
      </c>
      <c r="D250" s="2" t="e">
        <f>IF(COUNT($A250)=0,"",IF(VLOOKUP($A250,'物料分类表 R22'!$B$2:$H$1090,D$3*2,FALSE)=0,D249,VLOOKUP($A250,'物料分类表 R22'!$B$2:$H$1090,D$3*2,FALSE)))</f>
        <v>#REF!</v>
      </c>
      <c r="E250" s="1" t="e">
        <f t="shared" si="13"/>
        <v>#REF!</v>
      </c>
      <c r="F250" s="1" t="e">
        <f t="shared" si="14"/>
        <v>#REF!</v>
      </c>
      <c r="G250" s="1" t="e">
        <f t="shared" si="15"/>
        <v>#REF!</v>
      </c>
      <c r="P250" s="1" t="s">
        <v>2242</v>
      </c>
      <c r="Q250" s="2" t="s">
        <v>694</v>
      </c>
    </row>
    <row r="251" customHeight="1" spans="1:17">
      <c r="A251" s="1">
        <f>IF(MAX($A$2:A250)=$B$1,"",MAX($A$2:A250)+1)</f>
        <v>248</v>
      </c>
      <c r="B251" s="2" t="e">
        <f>IF(COUNT($A251)=0,"",VLOOKUP($A251,'物料分类表 R22'!$B$2:$H$1090,C251*2,FALSE))</f>
        <v>#REF!</v>
      </c>
      <c r="C251" s="2" t="e">
        <f>SUMIFS('物料分类表 R22'!#REF!,'物料分类表 R22'!$B$2:$B$1090,A251)</f>
        <v>#REF!</v>
      </c>
      <c r="D251" s="2" t="e">
        <f>IF(COUNT($A251)=0,"",IF(VLOOKUP($A251,'物料分类表 R22'!$B$2:$H$1090,D$3*2,FALSE)=0,D250,VLOOKUP($A251,'物料分类表 R22'!$B$2:$H$1090,D$3*2,FALSE)))</f>
        <v>#REF!</v>
      </c>
      <c r="E251" s="1" t="e">
        <f t="shared" si="13"/>
        <v>#REF!</v>
      </c>
      <c r="F251" s="1" t="e">
        <f t="shared" si="14"/>
        <v>#REF!</v>
      </c>
      <c r="G251" s="1" t="e">
        <f t="shared" si="15"/>
        <v>#REF!</v>
      </c>
      <c r="P251" s="1" t="s">
        <v>2243</v>
      </c>
      <c r="Q251" s="2" t="s">
        <v>696</v>
      </c>
    </row>
    <row r="252" customHeight="1" spans="1:17">
      <c r="A252" s="1">
        <f>IF(MAX($A$2:A251)=$B$1,"",MAX($A$2:A251)+1)</f>
        <v>249</v>
      </c>
      <c r="B252" s="2" t="e">
        <f>IF(COUNT($A252)=0,"",VLOOKUP($A252,'物料分类表 R22'!$B$2:$H$1090,C252*2,FALSE))</f>
        <v>#REF!</v>
      </c>
      <c r="C252" s="2" t="e">
        <f>SUMIFS('物料分类表 R22'!#REF!,'物料分类表 R22'!$B$2:$B$1090,A252)</f>
        <v>#REF!</v>
      </c>
      <c r="D252" s="2" t="e">
        <f>IF(COUNT($A252)=0,"",IF(VLOOKUP($A252,'物料分类表 R22'!$B$2:$H$1090,D$3*2,FALSE)=0,D251,VLOOKUP($A252,'物料分类表 R22'!$B$2:$H$1090,D$3*2,FALSE)))</f>
        <v>#REF!</v>
      </c>
      <c r="E252" s="1" t="e">
        <f t="shared" si="13"/>
        <v>#REF!</v>
      </c>
      <c r="F252" s="1" t="e">
        <f t="shared" si="14"/>
        <v>#REF!</v>
      </c>
      <c r="G252" s="1" t="e">
        <f t="shared" si="15"/>
        <v>#REF!</v>
      </c>
      <c r="P252" s="1" t="s">
        <v>2244</v>
      </c>
      <c r="Q252" s="2" t="s">
        <v>698</v>
      </c>
    </row>
    <row r="253" customHeight="1" spans="1:17">
      <c r="A253" s="1">
        <f>IF(MAX($A$2:A252)=$B$1,"",MAX($A$2:A252)+1)</f>
        <v>250</v>
      </c>
      <c r="B253" s="2" t="e">
        <f>IF(COUNT($A253)=0,"",VLOOKUP($A253,'物料分类表 R22'!$B$2:$H$1090,C253*2,FALSE))</f>
        <v>#REF!</v>
      </c>
      <c r="C253" s="2" t="e">
        <f>SUMIFS('物料分类表 R22'!#REF!,'物料分类表 R22'!$B$2:$B$1090,A253)</f>
        <v>#REF!</v>
      </c>
      <c r="D253" s="2" t="e">
        <f>IF(COUNT($A253)=0,"",IF(VLOOKUP($A253,'物料分类表 R22'!$B$2:$H$1090,D$3*2,FALSE)=0,D252,VLOOKUP($A253,'物料分类表 R22'!$B$2:$H$1090,D$3*2,FALSE)))</f>
        <v>#REF!</v>
      </c>
      <c r="E253" s="1" t="e">
        <f t="shared" si="13"/>
        <v>#REF!</v>
      </c>
      <c r="F253" s="1" t="e">
        <f t="shared" si="14"/>
        <v>#REF!</v>
      </c>
      <c r="G253" s="1" t="e">
        <f t="shared" si="15"/>
        <v>#REF!</v>
      </c>
      <c r="P253" s="1" t="s">
        <v>2245</v>
      </c>
      <c r="Q253" s="2" t="s">
        <v>700</v>
      </c>
    </row>
    <row r="254" customHeight="1" spans="1:17">
      <c r="A254" s="1">
        <f>IF(MAX($A$2:A253)=$B$1,"",MAX($A$2:A253)+1)</f>
        <v>251</v>
      </c>
      <c r="B254" s="2" t="e">
        <f>IF(COUNT($A254)=0,"",VLOOKUP($A254,'物料分类表 R22'!$B$2:$H$1090,C254*2,FALSE))</f>
        <v>#REF!</v>
      </c>
      <c r="C254" s="2" t="e">
        <f>SUMIFS('物料分类表 R22'!#REF!,'物料分类表 R22'!$B$2:$B$1090,A254)</f>
        <v>#REF!</v>
      </c>
      <c r="D254" s="2" t="e">
        <f>IF(COUNT($A254)=0,"",IF(VLOOKUP($A254,'物料分类表 R22'!$B$2:$H$1090,D$3*2,FALSE)=0,D253,VLOOKUP($A254,'物料分类表 R22'!$B$2:$H$1090,D$3*2,FALSE)))</f>
        <v>#REF!</v>
      </c>
      <c r="E254" s="1" t="e">
        <f t="shared" si="13"/>
        <v>#REF!</v>
      </c>
      <c r="F254" s="1" t="e">
        <f t="shared" si="14"/>
        <v>#REF!</v>
      </c>
      <c r="G254" s="1" t="e">
        <f t="shared" si="15"/>
        <v>#REF!</v>
      </c>
      <c r="P254" s="1" t="s">
        <v>2246</v>
      </c>
      <c r="Q254" s="2" t="s">
        <v>702</v>
      </c>
    </row>
    <row r="255" customHeight="1" spans="1:17">
      <c r="A255" s="1">
        <f>IF(MAX($A$2:A254)=$B$1,"",MAX($A$2:A254)+1)</f>
        <v>252</v>
      </c>
      <c r="B255" s="2" t="e">
        <f>IF(COUNT($A255)=0,"",VLOOKUP($A255,'物料分类表 R22'!$B$2:$H$1090,C255*2,FALSE))</f>
        <v>#REF!</v>
      </c>
      <c r="C255" s="2" t="e">
        <f>SUMIFS('物料分类表 R22'!#REF!,'物料分类表 R22'!$B$2:$B$1090,A255)</f>
        <v>#REF!</v>
      </c>
      <c r="D255" s="2" t="e">
        <f>IF(COUNT($A255)=0,"",IF(VLOOKUP($A255,'物料分类表 R22'!$B$2:$H$1090,D$3*2,FALSE)=0,D254,VLOOKUP($A255,'物料分类表 R22'!$B$2:$H$1090,D$3*2,FALSE)))</f>
        <v>#REF!</v>
      </c>
      <c r="E255" s="1" t="e">
        <f t="shared" si="13"/>
        <v>#REF!</v>
      </c>
      <c r="F255" s="1" t="e">
        <f t="shared" si="14"/>
        <v>#REF!</v>
      </c>
      <c r="G255" s="1" t="e">
        <f t="shared" si="15"/>
        <v>#REF!</v>
      </c>
      <c r="P255" s="1" t="s">
        <v>2247</v>
      </c>
      <c r="Q255" s="2" t="s">
        <v>710</v>
      </c>
    </row>
    <row r="256" customHeight="1" spans="1:17">
      <c r="A256" s="1">
        <f>IF(MAX($A$2:A255)=$B$1,"",MAX($A$2:A255)+1)</f>
        <v>253</v>
      </c>
      <c r="B256" s="2" t="e">
        <f>IF(COUNT($A256)=0,"",VLOOKUP($A256,'物料分类表 R22'!$B$2:$H$1090,C256*2,FALSE))</f>
        <v>#REF!</v>
      </c>
      <c r="C256" s="2" t="e">
        <f>SUMIFS('物料分类表 R22'!#REF!,'物料分类表 R22'!$B$2:$B$1090,A256)</f>
        <v>#REF!</v>
      </c>
      <c r="D256" s="2" t="e">
        <f>IF(COUNT($A256)=0,"",IF(VLOOKUP($A256,'物料分类表 R22'!$B$2:$H$1090,D$3*2,FALSE)=0,D255,VLOOKUP($A256,'物料分类表 R22'!$B$2:$H$1090,D$3*2,FALSE)))</f>
        <v>#REF!</v>
      </c>
      <c r="E256" s="1" t="e">
        <f t="shared" si="13"/>
        <v>#REF!</v>
      </c>
      <c r="F256" s="1" t="e">
        <f t="shared" si="14"/>
        <v>#REF!</v>
      </c>
      <c r="G256" s="1" t="e">
        <f t="shared" si="15"/>
        <v>#REF!</v>
      </c>
      <c r="P256" s="1" t="s">
        <v>2248</v>
      </c>
      <c r="Q256" s="2" t="s">
        <v>712</v>
      </c>
    </row>
    <row r="257" customHeight="1" spans="1:17">
      <c r="A257" s="1">
        <f>IF(MAX($A$2:A256)=$B$1,"",MAX($A$2:A256)+1)</f>
        <v>254</v>
      </c>
      <c r="B257" s="2" t="e">
        <f>IF(COUNT($A257)=0,"",VLOOKUP($A257,'物料分类表 R22'!$B$2:$H$1090,C257*2,FALSE))</f>
        <v>#REF!</v>
      </c>
      <c r="C257" s="2" t="e">
        <f>SUMIFS('物料分类表 R22'!#REF!,'物料分类表 R22'!$B$2:$B$1090,A257)</f>
        <v>#REF!</v>
      </c>
      <c r="D257" s="2" t="e">
        <f>IF(COUNT($A257)=0,"",IF(VLOOKUP($A257,'物料分类表 R22'!$B$2:$H$1090,D$3*2,FALSE)=0,D256,VLOOKUP($A257,'物料分类表 R22'!$B$2:$H$1090,D$3*2,FALSE)))</f>
        <v>#REF!</v>
      </c>
      <c r="E257" s="1" t="e">
        <f t="shared" si="13"/>
        <v>#REF!</v>
      </c>
      <c r="F257" s="1" t="e">
        <f t="shared" si="14"/>
        <v>#REF!</v>
      </c>
      <c r="G257" s="1" t="e">
        <f t="shared" si="15"/>
        <v>#REF!</v>
      </c>
      <c r="P257" s="1" t="s">
        <v>2249</v>
      </c>
      <c r="Q257" s="2" t="s">
        <v>704</v>
      </c>
    </row>
    <row r="258" customHeight="1" spans="1:17">
      <c r="A258" s="1">
        <f>IF(MAX($A$2:A257)=$B$1,"",MAX($A$2:A257)+1)</f>
        <v>255</v>
      </c>
      <c r="B258" s="2" t="e">
        <f>IF(COUNT($A258)=0,"",VLOOKUP($A258,'物料分类表 R22'!$B$2:$H$1090,C258*2,FALSE))</f>
        <v>#REF!</v>
      </c>
      <c r="C258" s="2" t="e">
        <f>SUMIFS('物料分类表 R22'!#REF!,'物料分类表 R22'!$B$2:$B$1090,A258)</f>
        <v>#REF!</v>
      </c>
      <c r="D258" s="2" t="e">
        <f>IF(COUNT($A258)=0,"",IF(VLOOKUP($A258,'物料分类表 R22'!$B$2:$H$1090,D$3*2,FALSE)=0,D257,VLOOKUP($A258,'物料分类表 R22'!$B$2:$H$1090,D$3*2,FALSE)))</f>
        <v>#REF!</v>
      </c>
      <c r="E258" s="1" t="e">
        <f t="shared" si="13"/>
        <v>#REF!</v>
      </c>
      <c r="F258" s="1" t="e">
        <f t="shared" si="14"/>
        <v>#REF!</v>
      </c>
      <c r="G258" s="1" t="e">
        <f t="shared" si="15"/>
        <v>#REF!</v>
      </c>
      <c r="P258" s="1" t="s">
        <v>2250</v>
      </c>
      <c r="Q258" s="2" t="s">
        <v>706</v>
      </c>
    </row>
    <row r="259" customHeight="1" spans="1:17">
      <c r="A259" s="1">
        <f>IF(MAX($A$2:A258)=$B$1,"",MAX($A$2:A258)+1)</f>
        <v>256</v>
      </c>
      <c r="B259" s="2" t="e">
        <f>IF(COUNT($A259)=0,"",VLOOKUP($A259,'物料分类表 R22'!$B$2:$H$1090,C259*2,FALSE))</f>
        <v>#REF!</v>
      </c>
      <c r="C259" s="2" t="e">
        <f>SUMIFS('物料分类表 R22'!#REF!,'物料分类表 R22'!$B$2:$B$1090,A259)</f>
        <v>#REF!</v>
      </c>
      <c r="D259" s="2" t="e">
        <f>IF(COUNT($A259)=0,"",IF(VLOOKUP($A259,'物料分类表 R22'!$B$2:$H$1090,D$3*2,FALSE)=0,D258,VLOOKUP($A259,'物料分类表 R22'!$B$2:$H$1090,D$3*2,FALSE)))</f>
        <v>#REF!</v>
      </c>
      <c r="E259" s="1" t="e">
        <f t="shared" si="13"/>
        <v>#REF!</v>
      </c>
      <c r="F259" s="1" t="e">
        <f t="shared" si="14"/>
        <v>#REF!</v>
      </c>
      <c r="G259" s="1" t="e">
        <f t="shared" si="15"/>
        <v>#REF!</v>
      </c>
      <c r="P259" s="1" t="s">
        <v>2251</v>
      </c>
      <c r="Q259" s="2" t="s">
        <v>708</v>
      </c>
    </row>
    <row r="260" customHeight="1" spans="1:17">
      <c r="A260" s="1">
        <f>IF(MAX($A$2:A259)=$B$1,"",MAX($A$2:A259)+1)</f>
        <v>257</v>
      </c>
      <c r="B260" s="2" t="e">
        <f>IF(COUNT($A260)=0,"",VLOOKUP($A260,'物料分类表 R22'!$B$2:$H$1090,C260*2,FALSE))</f>
        <v>#REF!</v>
      </c>
      <c r="C260" s="2" t="e">
        <f>SUMIFS('物料分类表 R22'!#REF!,'物料分类表 R22'!$B$2:$B$1090,A260)</f>
        <v>#REF!</v>
      </c>
      <c r="D260" s="2" t="e">
        <f>IF(COUNT($A260)=0,"",IF(VLOOKUP($A260,'物料分类表 R22'!$B$2:$H$1090,D$3*2,FALSE)=0,D259,VLOOKUP($A260,'物料分类表 R22'!$B$2:$H$1090,D$3*2,FALSE)))</f>
        <v>#REF!</v>
      </c>
      <c r="E260" s="1" t="e">
        <f t="shared" si="13"/>
        <v>#REF!</v>
      </c>
      <c r="F260" s="1" t="e">
        <f t="shared" si="14"/>
        <v>#REF!</v>
      </c>
      <c r="G260" s="1" t="e">
        <f t="shared" si="15"/>
        <v>#REF!</v>
      </c>
      <c r="P260" s="1" t="s">
        <v>2252</v>
      </c>
      <c r="Q260" s="2" t="s">
        <v>714</v>
      </c>
    </row>
    <row r="261" customHeight="1" spans="1:17">
      <c r="A261" s="1">
        <f>IF(MAX($A$2:A260)=$B$1,"",MAX($A$2:A260)+1)</f>
        <v>258</v>
      </c>
      <c r="B261" s="2" t="e">
        <f>IF(COUNT($A261)=0,"",VLOOKUP($A261,'物料分类表 R22'!$B$2:$H$1090,C261*2,FALSE))</f>
        <v>#REF!</v>
      </c>
      <c r="C261" s="2" t="e">
        <f>SUMIFS('物料分类表 R22'!#REF!,'物料分类表 R22'!$B$2:$B$1090,A261)</f>
        <v>#REF!</v>
      </c>
      <c r="D261" s="2" t="e">
        <f>IF(COUNT($A261)=0,"",IF(VLOOKUP($A261,'物料分类表 R22'!$B$2:$H$1090,D$3*2,FALSE)=0,D260,VLOOKUP($A261,'物料分类表 R22'!$B$2:$H$1090,D$3*2,FALSE)))</f>
        <v>#REF!</v>
      </c>
      <c r="E261" s="1" t="e">
        <f t="shared" si="13"/>
        <v>#REF!</v>
      </c>
      <c r="F261" s="1" t="e">
        <f t="shared" si="14"/>
        <v>#REF!</v>
      </c>
      <c r="G261" s="1" t="e">
        <f t="shared" si="15"/>
        <v>#REF!</v>
      </c>
      <c r="P261" s="1" t="s">
        <v>2253</v>
      </c>
      <c r="Q261" s="2" t="s">
        <v>641</v>
      </c>
    </row>
    <row r="262" customHeight="1" spans="1:17">
      <c r="A262" s="1">
        <f>IF(MAX($A$2:A261)=$B$1,"",MAX($A$2:A261)+1)</f>
        <v>259</v>
      </c>
      <c r="B262" s="2" t="e">
        <f>IF(COUNT($A262)=0,"",VLOOKUP($A262,'物料分类表 R22'!$B$2:$H$1090,C262*2,FALSE))</f>
        <v>#REF!</v>
      </c>
      <c r="C262" s="2" t="e">
        <f>SUMIFS('物料分类表 R22'!#REF!,'物料分类表 R22'!$B$2:$B$1090,A262)</f>
        <v>#REF!</v>
      </c>
      <c r="D262" s="2" t="e">
        <f>IF(COUNT($A262)=0,"",IF(VLOOKUP($A262,'物料分类表 R22'!$B$2:$H$1090,D$3*2,FALSE)=0,D261,VLOOKUP($A262,'物料分类表 R22'!$B$2:$H$1090,D$3*2,FALSE)))</f>
        <v>#REF!</v>
      </c>
      <c r="E262" s="1" t="e">
        <f t="shared" si="13"/>
        <v>#REF!</v>
      </c>
      <c r="F262" s="1" t="e">
        <f t="shared" si="14"/>
        <v>#REF!</v>
      </c>
      <c r="G262" s="1" t="e">
        <f t="shared" si="15"/>
        <v>#REF!</v>
      </c>
      <c r="P262" s="1" t="s">
        <v>2254</v>
      </c>
      <c r="Q262" s="2" t="s">
        <v>643</v>
      </c>
    </row>
    <row r="263" customHeight="1" spans="1:17">
      <c r="A263" s="1">
        <f>IF(MAX($A$2:A262)=$B$1,"",MAX($A$2:A262)+1)</f>
        <v>260</v>
      </c>
      <c r="B263" s="2" t="e">
        <f>IF(COUNT($A263)=0,"",VLOOKUP($A263,'物料分类表 R22'!$B$2:$H$1090,C263*2,FALSE))</f>
        <v>#REF!</v>
      </c>
      <c r="C263" s="2" t="e">
        <f>SUMIFS('物料分类表 R22'!#REF!,'物料分类表 R22'!$B$2:$B$1090,A263)</f>
        <v>#REF!</v>
      </c>
      <c r="D263" s="2" t="e">
        <f>IF(COUNT($A263)=0,"",IF(VLOOKUP($A263,'物料分类表 R22'!$B$2:$H$1090,D$3*2,FALSE)=0,D262,VLOOKUP($A263,'物料分类表 R22'!$B$2:$H$1090,D$3*2,FALSE)))</f>
        <v>#REF!</v>
      </c>
      <c r="E263" s="1" t="e">
        <f t="shared" si="13"/>
        <v>#REF!</v>
      </c>
      <c r="F263" s="1" t="e">
        <f t="shared" si="14"/>
        <v>#REF!</v>
      </c>
      <c r="G263" s="1" t="e">
        <f t="shared" si="15"/>
        <v>#REF!</v>
      </c>
      <c r="P263" s="1" t="s">
        <v>2255</v>
      </c>
      <c r="Q263" s="2" t="s">
        <v>2256</v>
      </c>
    </row>
    <row r="264" customHeight="1" spans="1:17">
      <c r="A264" s="1">
        <f>IF(MAX($A$2:A263)=$B$1,"",MAX($A$2:A263)+1)</f>
        <v>261</v>
      </c>
      <c r="B264" s="2" t="e">
        <f>IF(COUNT($A264)=0,"",VLOOKUP($A264,'物料分类表 R22'!$B$2:$H$1090,C264*2,FALSE))</f>
        <v>#REF!</v>
      </c>
      <c r="C264" s="2" t="e">
        <f>SUMIFS('物料分类表 R22'!#REF!,'物料分类表 R22'!$B$2:$B$1090,A264)</f>
        <v>#REF!</v>
      </c>
      <c r="D264" s="2" t="e">
        <f>IF(COUNT($A264)=0,"",IF(VLOOKUP($A264,'物料分类表 R22'!$B$2:$H$1090,D$3*2,FALSE)=0,D263,VLOOKUP($A264,'物料分类表 R22'!$B$2:$H$1090,D$3*2,FALSE)))</f>
        <v>#REF!</v>
      </c>
      <c r="E264" s="1" t="e">
        <f t="shared" si="13"/>
        <v>#REF!</v>
      </c>
      <c r="F264" s="1" t="e">
        <f t="shared" si="14"/>
        <v>#REF!</v>
      </c>
      <c r="G264" s="1" t="e">
        <f t="shared" si="15"/>
        <v>#REF!</v>
      </c>
      <c r="P264" s="1" t="s">
        <v>2257</v>
      </c>
      <c r="Q264" s="2" t="s">
        <v>717</v>
      </c>
    </row>
    <row r="265" customHeight="1" spans="1:17">
      <c r="A265" s="1">
        <f>IF(MAX($A$2:A264)=$B$1,"",MAX($A$2:A264)+1)</f>
        <v>262</v>
      </c>
      <c r="B265" s="2" t="e">
        <f>IF(COUNT($A265)=0,"",VLOOKUP($A265,'物料分类表 R22'!$B$2:$H$1090,C265*2,FALSE))</f>
        <v>#REF!</v>
      </c>
      <c r="C265" s="2" t="e">
        <f>SUMIFS('物料分类表 R22'!#REF!,'物料分类表 R22'!$B$2:$B$1090,A265)</f>
        <v>#REF!</v>
      </c>
      <c r="D265" s="2" t="e">
        <f>IF(COUNT($A265)=0,"",IF(VLOOKUP($A265,'物料分类表 R22'!$B$2:$H$1090,D$3*2,FALSE)=0,D264,VLOOKUP($A265,'物料分类表 R22'!$B$2:$H$1090,D$3*2,FALSE)))</f>
        <v>#REF!</v>
      </c>
      <c r="E265" s="1" t="e">
        <f t="shared" si="13"/>
        <v>#REF!</v>
      </c>
      <c r="F265" s="1" t="e">
        <f t="shared" si="14"/>
        <v>#REF!</v>
      </c>
      <c r="G265" s="1" t="e">
        <f t="shared" si="15"/>
        <v>#REF!</v>
      </c>
      <c r="P265" s="1" t="s">
        <v>2258</v>
      </c>
      <c r="Q265" s="2" t="s">
        <v>2259</v>
      </c>
    </row>
    <row r="266" customHeight="1" spans="1:17">
      <c r="A266" s="1">
        <f>IF(MAX($A$2:A265)=$B$1,"",MAX($A$2:A265)+1)</f>
        <v>263</v>
      </c>
      <c r="B266" s="2" t="e">
        <f>IF(COUNT($A266)=0,"",VLOOKUP($A266,'物料分类表 R22'!$B$2:$H$1090,C266*2,FALSE))</f>
        <v>#REF!</v>
      </c>
      <c r="C266" s="2" t="e">
        <f>SUMIFS('物料分类表 R22'!#REF!,'物料分类表 R22'!$B$2:$B$1090,A266)</f>
        <v>#REF!</v>
      </c>
      <c r="D266" s="2" t="e">
        <f>IF(COUNT($A266)=0,"",IF(VLOOKUP($A266,'物料分类表 R22'!$B$2:$H$1090,D$3*2,FALSE)=0,D265,VLOOKUP($A266,'物料分类表 R22'!$B$2:$H$1090,D$3*2,FALSE)))</f>
        <v>#REF!</v>
      </c>
      <c r="E266" s="1" t="e">
        <f t="shared" si="13"/>
        <v>#REF!</v>
      </c>
      <c r="F266" s="1" t="e">
        <f t="shared" si="14"/>
        <v>#REF!</v>
      </c>
      <c r="G266" s="1" t="e">
        <f t="shared" si="15"/>
        <v>#REF!</v>
      </c>
      <c r="P266" s="1" t="s">
        <v>2260</v>
      </c>
      <c r="Q266" s="2" t="s">
        <v>2261</v>
      </c>
    </row>
    <row r="267" customHeight="1" spans="1:17">
      <c r="A267" s="1">
        <f>IF(MAX($A$2:A266)=$B$1,"",MAX($A$2:A266)+1)</f>
        <v>264</v>
      </c>
      <c r="B267" s="2" t="e">
        <f>IF(COUNT($A267)=0,"",VLOOKUP($A267,'物料分类表 R22'!$B$2:$H$1090,C267*2,FALSE))</f>
        <v>#REF!</v>
      </c>
      <c r="C267" s="2" t="e">
        <f>SUMIFS('物料分类表 R22'!#REF!,'物料分类表 R22'!$B$2:$B$1090,A267)</f>
        <v>#REF!</v>
      </c>
      <c r="D267" s="2" t="e">
        <f>IF(COUNT($A267)=0,"",IF(VLOOKUP($A267,'物料分类表 R22'!$B$2:$H$1090,D$3*2,FALSE)=0,D266,VLOOKUP($A267,'物料分类表 R22'!$B$2:$H$1090,D$3*2,FALSE)))</f>
        <v>#REF!</v>
      </c>
      <c r="E267" s="1" t="e">
        <f t="shared" si="13"/>
        <v>#REF!</v>
      </c>
      <c r="F267" s="1" t="e">
        <f t="shared" si="14"/>
        <v>#REF!</v>
      </c>
      <c r="G267" s="1" t="e">
        <f t="shared" si="15"/>
        <v>#REF!</v>
      </c>
      <c r="P267" s="1" t="s">
        <v>2262</v>
      </c>
      <c r="Q267" s="2" t="s">
        <v>656</v>
      </c>
    </row>
    <row r="268" customHeight="1" spans="1:17">
      <c r="A268" s="1">
        <f>IF(MAX($A$2:A267)=$B$1,"",MAX($A$2:A267)+1)</f>
        <v>265</v>
      </c>
      <c r="B268" s="2" t="e">
        <f>IF(COUNT($A268)=0,"",VLOOKUP($A268,'物料分类表 R22'!$B$2:$H$1090,C268*2,FALSE))</f>
        <v>#REF!</v>
      </c>
      <c r="C268" s="2" t="e">
        <f>SUMIFS('物料分类表 R22'!#REF!,'物料分类表 R22'!$B$2:$B$1090,A268)</f>
        <v>#REF!</v>
      </c>
      <c r="D268" s="2" t="e">
        <f>IF(COUNT($A268)=0,"",IF(VLOOKUP($A268,'物料分类表 R22'!$B$2:$H$1090,D$3*2,FALSE)=0,D267,VLOOKUP($A268,'物料分类表 R22'!$B$2:$H$1090,D$3*2,FALSE)))</f>
        <v>#REF!</v>
      </c>
      <c r="E268" s="1" t="e">
        <f t="shared" si="13"/>
        <v>#REF!</v>
      </c>
      <c r="F268" s="1" t="e">
        <f t="shared" si="14"/>
        <v>#REF!</v>
      </c>
      <c r="G268" s="1" t="e">
        <f t="shared" si="15"/>
        <v>#REF!</v>
      </c>
      <c r="P268" s="1" t="s">
        <v>2263</v>
      </c>
      <c r="Q268" s="2" t="s">
        <v>673</v>
      </c>
    </row>
    <row r="269" customHeight="1" spans="1:17">
      <c r="A269" s="1">
        <f>IF(MAX($A$2:A268)=$B$1,"",MAX($A$2:A268)+1)</f>
        <v>266</v>
      </c>
      <c r="B269" s="2" t="e">
        <f>IF(COUNT($A269)=0,"",VLOOKUP($A269,'物料分类表 R22'!$B$2:$H$1090,C269*2,FALSE))</f>
        <v>#REF!</v>
      </c>
      <c r="C269" s="2" t="e">
        <f>SUMIFS('物料分类表 R22'!#REF!,'物料分类表 R22'!$B$2:$B$1090,A269)</f>
        <v>#REF!</v>
      </c>
      <c r="D269" s="2" t="e">
        <f>IF(COUNT($A269)=0,"",IF(VLOOKUP($A269,'物料分类表 R22'!$B$2:$H$1090,D$3*2,FALSE)=0,D268,VLOOKUP($A269,'物料分类表 R22'!$B$2:$H$1090,D$3*2,FALSE)))</f>
        <v>#REF!</v>
      </c>
      <c r="E269" s="1" t="e">
        <f t="shared" si="13"/>
        <v>#REF!</v>
      </c>
      <c r="F269" s="1" t="e">
        <f t="shared" si="14"/>
        <v>#REF!</v>
      </c>
      <c r="G269" s="1" t="e">
        <f t="shared" si="15"/>
        <v>#REF!</v>
      </c>
      <c r="P269" s="1" t="s">
        <v>2264</v>
      </c>
      <c r="Q269" s="2" t="s">
        <v>658</v>
      </c>
    </row>
    <row r="270" customHeight="1" spans="1:17">
      <c r="A270" s="1">
        <f>IF(MAX($A$2:A269)=$B$1,"",MAX($A$2:A269)+1)</f>
        <v>267</v>
      </c>
      <c r="B270" s="2" t="e">
        <f>IF(COUNT($A270)=0,"",VLOOKUP($A270,'物料分类表 R22'!$B$2:$H$1090,C270*2,FALSE))</f>
        <v>#REF!</v>
      </c>
      <c r="C270" s="2" t="e">
        <f>SUMIFS('物料分类表 R22'!#REF!,'物料分类表 R22'!$B$2:$B$1090,A270)</f>
        <v>#REF!</v>
      </c>
      <c r="D270" s="2" t="e">
        <f>IF(COUNT($A270)=0,"",IF(VLOOKUP($A270,'物料分类表 R22'!$B$2:$H$1090,D$3*2,FALSE)=0,D269,VLOOKUP($A270,'物料分类表 R22'!$B$2:$H$1090,D$3*2,FALSE)))</f>
        <v>#REF!</v>
      </c>
      <c r="E270" s="1" t="e">
        <f t="shared" si="13"/>
        <v>#REF!</v>
      </c>
      <c r="F270" s="1" t="e">
        <f t="shared" si="14"/>
        <v>#REF!</v>
      </c>
      <c r="G270" s="1" t="e">
        <f t="shared" si="15"/>
        <v>#REF!</v>
      </c>
      <c r="P270" s="1" t="s">
        <v>2265</v>
      </c>
      <c r="Q270" s="2" t="s">
        <v>660</v>
      </c>
    </row>
    <row r="271" customHeight="1" spans="1:17">
      <c r="A271" s="1">
        <f>IF(MAX($A$2:A270)=$B$1,"",MAX($A$2:A270)+1)</f>
        <v>268</v>
      </c>
      <c r="B271" s="2" t="e">
        <f>IF(COUNT($A271)=0,"",VLOOKUP($A271,'物料分类表 R22'!$B$2:$H$1090,C271*2,FALSE))</f>
        <v>#REF!</v>
      </c>
      <c r="C271" s="2" t="e">
        <f>SUMIFS('物料分类表 R22'!#REF!,'物料分类表 R22'!$B$2:$B$1090,A271)</f>
        <v>#REF!</v>
      </c>
      <c r="D271" s="2" t="e">
        <f>IF(COUNT($A271)=0,"",IF(VLOOKUP($A271,'物料分类表 R22'!$B$2:$H$1090,D$3*2,FALSE)=0,D270,VLOOKUP($A271,'物料分类表 R22'!$B$2:$H$1090,D$3*2,FALSE)))</f>
        <v>#REF!</v>
      </c>
      <c r="E271" s="1" t="e">
        <f t="shared" si="13"/>
        <v>#REF!</v>
      </c>
      <c r="F271" s="1" t="e">
        <f t="shared" si="14"/>
        <v>#REF!</v>
      </c>
      <c r="G271" s="1" t="e">
        <f t="shared" si="15"/>
        <v>#REF!</v>
      </c>
      <c r="P271" s="1" t="s">
        <v>2266</v>
      </c>
      <c r="Q271" s="2" t="s">
        <v>2267</v>
      </c>
    </row>
    <row r="272" customHeight="1" spans="1:17">
      <c r="A272" s="1">
        <f>IF(MAX($A$2:A271)=$B$1,"",MAX($A$2:A271)+1)</f>
        <v>269</v>
      </c>
      <c r="B272" s="2" t="e">
        <f>IF(COUNT($A272)=0,"",VLOOKUP($A272,'物料分类表 R22'!$B$2:$H$1090,C272*2,FALSE))</f>
        <v>#REF!</v>
      </c>
      <c r="C272" s="2" t="e">
        <f>SUMIFS('物料分类表 R22'!#REF!,'物料分类表 R22'!$B$2:$B$1090,A272)</f>
        <v>#REF!</v>
      </c>
      <c r="D272" s="2" t="e">
        <f>IF(COUNT($A272)=0,"",IF(VLOOKUP($A272,'物料分类表 R22'!$B$2:$H$1090,D$3*2,FALSE)=0,D271,VLOOKUP($A272,'物料分类表 R22'!$B$2:$H$1090,D$3*2,FALSE)))</f>
        <v>#REF!</v>
      </c>
      <c r="E272" s="1" t="e">
        <f t="shared" si="13"/>
        <v>#REF!</v>
      </c>
      <c r="F272" s="1" t="e">
        <f t="shared" si="14"/>
        <v>#REF!</v>
      </c>
      <c r="G272" s="1" t="e">
        <f t="shared" si="15"/>
        <v>#REF!</v>
      </c>
      <c r="P272" s="1" t="s">
        <v>2268</v>
      </c>
      <c r="Q272" s="2" t="s">
        <v>722</v>
      </c>
    </row>
    <row r="273" customHeight="1" spans="1:17">
      <c r="A273" s="1">
        <f>IF(MAX($A$2:A272)=$B$1,"",MAX($A$2:A272)+1)</f>
        <v>270</v>
      </c>
      <c r="B273" s="2" t="e">
        <f>IF(COUNT($A273)=0,"",VLOOKUP($A273,'物料分类表 R22'!$B$2:$H$1090,C273*2,FALSE))</f>
        <v>#REF!</v>
      </c>
      <c r="C273" s="2" t="e">
        <f>SUMIFS('物料分类表 R22'!#REF!,'物料分类表 R22'!$B$2:$B$1090,A273)</f>
        <v>#REF!</v>
      </c>
      <c r="D273" s="2" t="e">
        <f>IF(COUNT($A273)=0,"",IF(VLOOKUP($A273,'物料分类表 R22'!$B$2:$H$1090,D$3*2,FALSE)=0,D272,VLOOKUP($A273,'物料分类表 R22'!$B$2:$H$1090,D$3*2,FALSE)))</f>
        <v>#REF!</v>
      </c>
      <c r="E273" s="1" t="e">
        <f t="shared" si="13"/>
        <v>#REF!</v>
      </c>
      <c r="F273" s="1" t="e">
        <f t="shared" si="14"/>
        <v>#REF!</v>
      </c>
      <c r="G273" s="1" t="e">
        <f t="shared" si="15"/>
        <v>#REF!</v>
      </c>
      <c r="P273" s="1" t="s">
        <v>2269</v>
      </c>
      <c r="Q273" s="2" t="s">
        <v>724</v>
      </c>
    </row>
    <row r="274" customHeight="1" spans="1:17">
      <c r="A274" s="1">
        <f>IF(MAX($A$2:A273)=$B$1,"",MAX($A$2:A273)+1)</f>
        <v>271</v>
      </c>
      <c r="B274" s="2" t="e">
        <f>IF(COUNT($A274)=0,"",VLOOKUP($A274,'物料分类表 R22'!$B$2:$H$1090,C274*2,FALSE))</f>
        <v>#REF!</v>
      </c>
      <c r="C274" s="2" t="e">
        <f>SUMIFS('物料分类表 R22'!#REF!,'物料分类表 R22'!$B$2:$B$1090,A274)</f>
        <v>#REF!</v>
      </c>
      <c r="D274" s="2" t="e">
        <f>IF(COUNT($A274)=0,"",IF(VLOOKUP($A274,'物料分类表 R22'!$B$2:$H$1090,D$3*2,FALSE)=0,D273,VLOOKUP($A274,'物料分类表 R22'!$B$2:$H$1090,D$3*2,FALSE)))</f>
        <v>#REF!</v>
      </c>
      <c r="E274" s="1" t="e">
        <f t="shared" si="13"/>
        <v>#REF!</v>
      </c>
      <c r="F274" s="1" t="e">
        <f t="shared" si="14"/>
        <v>#REF!</v>
      </c>
      <c r="G274" s="1" t="e">
        <f t="shared" si="15"/>
        <v>#REF!</v>
      </c>
      <c r="P274" s="1" t="s">
        <v>2270</v>
      </c>
      <c r="Q274" s="2" t="s">
        <v>726</v>
      </c>
    </row>
    <row r="275" customHeight="1" spans="1:17">
      <c r="A275" s="1">
        <f>IF(MAX($A$2:A274)=$B$1,"",MAX($A$2:A274)+1)</f>
        <v>272</v>
      </c>
      <c r="B275" s="2" t="e">
        <f>IF(COUNT($A275)=0,"",VLOOKUP($A275,'物料分类表 R22'!$B$2:$H$1090,C275*2,FALSE))</f>
        <v>#REF!</v>
      </c>
      <c r="C275" s="2" t="e">
        <f>SUMIFS('物料分类表 R22'!#REF!,'物料分类表 R22'!$B$2:$B$1090,A275)</f>
        <v>#REF!</v>
      </c>
      <c r="D275" s="2" t="e">
        <f>IF(COUNT($A275)=0,"",IF(VLOOKUP($A275,'物料分类表 R22'!$B$2:$H$1090,D$3*2,FALSE)=0,D274,VLOOKUP($A275,'物料分类表 R22'!$B$2:$H$1090,D$3*2,FALSE)))</f>
        <v>#REF!</v>
      </c>
      <c r="E275" s="1" t="e">
        <f t="shared" si="13"/>
        <v>#REF!</v>
      </c>
      <c r="F275" s="1" t="e">
        <f t="shared" si="14"/>
        <v>#REF!</v>
      </c>
      <c r="G275" s="1" t="e">
        <f t="shared" si="15"/>
        <v>#REF!</v>
      </c>
      <c r="P275" s="1" t="s">
        <v>2271</v>
      </c>
      <c r="Q275" s="2" t="s">
        <v>728</v>
      </c>
    </row>
    <row r="276" customHeight="1" spans="1:17">
      <c r="A276" s="1">
        <f>IF(MAX($A$2:A275)=$B$1,"",MAX($A$2:A275)+1)</f>
        <v>273</v>
      </c>
      <c r="B276" s="2" t="e">
        <f>IF(COUNT($A276)=0,"",VLOOKUP($A276,'物料分类表 R22'!$B$2:$H$1090,C276*2,FALSE))</f>
        <v>#REF!</v>
      </c>
      <c r="C276" s="2" t="e">
        <f>SUMIFS('物料分类表 R22'!#REF!,'物料分类表 R22'!$B$2:$B$1090,A276)</f>
        <v>#REF!</v>
      </c>
      <c r="D276" s="2" t="e">
        <f>IF(COUNT($A276)=0,"",IF(VLOOKUP($A276,'物料分类表 R22'!$B$2:$H$1090,D$3*2,FALSE)=0,D275,VLOOKUP($A276,'物料分类表 R22'!$B$2:$H$1090,D$3*2,FALSE)))</f>
        <v>#REF!</v>
      </c>
      <c r="E276" s="1" t="e">
        <f t="shared" si="13"/>
        <v>#REF!</v>
      </c>
      <c r="F276" s="1" t="e">
        <f t="shared" si="14"/>
        <v>#REF!</v>
      </c>
      <c r="G276" s="1" t="e">
        <f t="shared" si="15"/>
        <v>#REF!</v>
      </c>
      <c r="P276" s="1" t="s">
        <v>2272</v>
      </c>
      <c r="Q276" s="2" t="s">
        <v>730</v>
      </c>
    </row>
    <row r="277" customHeight="1" spans="1:17">
      <c r="A277" s="1">
        <f>IF(MAX($A$2:A276)=$B$1,"",MAX($A$2:A276)+1)</f>
        <v>274</v>
      </c>
      <c r="B277" s="2" t="e">
        <f>IF(COUNT($A277)=0,"",VLOOKUP($A277,'物料分类表 R22'!$B$2:$H$1090,C277*2,FALSE))</f>
        <v>#REF!</v>
      </c>
      <c r="C277" s="2" t="e">
        <f>SUMIFS('物料分类表 R22'!#REF!,'物料分类表 R22'!$B$2:$B$1090,A277)</f>
        <v>#REF!</v>
      </c>
      <c r="D277" s="2" t="e">
        <f>IF(COUNT($A277)=0,"",IF(VLOOKUP($A277,'物料分类表 R22'!$B$2:$H$1090,D$3*2,FALSE)=0,D276,VLOOKUP($A277,'物料分类表 R22'!$B$2:$H$1090,D$3*2,FALSE)))</f>
        <v>#REF!</v>
      </c>
      <c r="E277" s="1" t="e">
        <f t="shared" si="13"/>
        <v>#REF!</v>
      </c>
      <c r="F277" s="1" t="e">
        <f t="shared" si="14"/>
        <v>#REF!</v>
      </c>
      <c r="G277" s="1" t="e">
        <f t="shared" si="15"/>
        <v>#REF!</v>
      </c>
      <c r="P277" s="1" t="s">
        <v>2273</v>
      </c>
      <c r="Q277" s="2" t="s">
        <v>732</v>
      </c>
    </row>
    <row r="278" customHeight="1" spans="1:17">
      <c r="A278" s="1">
        <f>IF(MAX($A$2:A277)=$B$1,"",MAX($A$2:A277)+1)</f>
        <v>275</v>
      </c>
      <c r="B278" s="2" t="e">
        <f>IF(COUNT($A278)=0,"",VLOOKUP($A278,'物料分类表 R22'!$B$2:$H$1090,C278*2,FALSE))</f>
        <v>#REF!</v>
      </c>
      <c r="C278" s="2" t="e">
        <f>SUMIFS('物料分类表 R22'!#REF!,'物料分类表 R22'!$B$2:$B$1090,A278)</f>
        <v>#REF!</v>
      </c>
      <c r="D278" s="2" t="e">
        <f>IF(COUNT($A278)=0,"",IF(VLOOKUP($A278,'物料分类表 R22'!$B$2:$H$1090,D$3*2,FALSE)=0,D277,VLOOKUP($A278,'物料分类表 R22'!$B$2:$H$1090,D$3*2,FALSE)))</f>
        <v>#REF!</v>
      </c>
      <c r="E278" s="1" t="e">
        <f t="shared" si="13"/>
        <v>#REF!</v>
      </c>
      <c r="F278" s="1" t="e">
        <f t="shared" si="14"/>
        <v>#REF!</v>
      </c>
      <c r="G278" s="1" t="e">
        <f t="shared" si="15"/>
        <v>#REF!</v>
      </c>
      <c r="P278" s="1" t="s">
        <v>2274</v>
      </c>
      <c r="Q278" s="2" t="s">
        <v>734</v>
      </c>
    </row>
    <row r="279" customHeight="1" spans="1:17">
      <c r="A279" s="1">
        <f>IF(MAX($A$2:A278)=$B$1,"",MAX($A$2:A278)+1)</f>
        <v>276</v>
      </c>
      <c r="B279" s="2" t="e">
        <f>IF(COUNT($A279)=0,"",VLOOKUP($A279,'物料分类表 R22'!$B$2:$H$1090,C279*2,FALSE))</f>
        <v>#REF!</v>
      </c>
      <c r="C279" s="2" t="e">
        <f>SUMIFS('物料分类表 R22'!#REF!,'物料分类表 R22'!$B$2:$B$1090,A279)</f>
        <v>#REF!</v>
      </c>
      <c r="D279" s="2" t="e">
        <f>IF(COUNT($A279)=0,"",IF(VLOOKUP($A279,'物料分类表 R22'!$B$2:$H$1090,D$3*2,FALSE)=0,D278,VLOOKUP($A279,'物料分类表 R22'!$B$2:$H$1090,D$3*2,FALSE)))</f>
        <v>#REF!</v>
      </c>
      <c r="E279" s="1" t="e">
        <f t="shared" si="13"/>
        <v>#REF!</v>
      </c>
      <c r="F279" s="1" t="e">
        <f t="shared" si="14"/>
        <v>#REF!</v>
      </c>
      <c r="G279" s="1" t="e">
        <f t="shared" si="15"/>
        <v>#REF!</v>
      </c>
      <c r="P279" s="1" t="s">
        <v>2275</v>
      </c>
      <c r="Q279" s="2" t="s">
        <v>2276</v>
      </c>
    </row>
    <row r="280" customHeight="1" spans="1:17">
      <c r="A280" s="1">
        <f>IF(MAX($A$2:A279)=$B$1,"",MAX($A$2:A279)+1)</f>
        <v>277</v>
      </c>
      <c r="B280" s="2" t="e">
        <f>IF(COUNT($A280)=0,"",VLOOKUP($A280,'物料分类表 R22'!$B$2:$H$1090,C280*2,FALSE))</f>
        <v>#REF!</v>
      </c>
      <c r="C280" s="2" t="e">
        <f>SUMIFS('物料分类表 R22'!#REF!,'物料分类表 R22'!$B$2:$B$1090,A280)</f>
        <v>#REF!</v>
      </c>
      <c r="D280" s="2" t="e">
        <f>IF(COUNT($A280)=0,"",IF(VLOOKUP($A280,'物料分类表 R22'!$B$2:$H$1090,D$3*2,FALSE)=0,D279,VLOOKUP($A280,'物料分类表 R22'!$B$2:$H$1090,D$3*2,FALSE)))</f>
        <v>#REF!</v>
      </c>
      <c r="E280" s="1" t="e">
        <f t="shared" si="13"/>
        <v>#REF!</v>
      </c>
      <c r="F280" s="1" t="e">
        <f t="shared" si="14"/>
        <v>#REF!</v>
      </c>
      <c r="G280" s="1" t="e">
        <f t="shared" si="15"/>
        <v>#REF!</v>
      </c>
      <c r="P280" s="1" t="s">
        <v>2277</v>
      </c>
      <c r="Q280" s="2" t="s">
        <v>2278</v>
      </c>
    </row>
    <row r="281" customHeight="1" spans="1:17">
      <c r="A281" s="1">
        <f>IF(MAX($A$2:A280)=$B$1,"",MAX($A$2:A280)+1)</f>
        <v>278</v>
      </c>
      <c r="B281" s="2" t="e">
        <f>IF(COUNT($A281)=0,"",VLOOKUP($A281,'物料分类表 R22'!$B$2:$H$1090,C281*2,FALSE))</f>
        <v>#REF!</v>
      </c>
      <c r="C281" s="2" t="e">
        <f>SUMIFS('物料分类表 R22'!#REF!,'物料分类表 R22'!$B$2:$B$1090,A281)</f>
        <v>#REF!</v>
      </c>
      <c r="D281" s="2" t="e">
        <f>IF(COUNT($A281)=0,"",IF(VLOOKUP($A281,'物料分类表 R22'!$B$2:$H$1090,D$3*2,FALSE)=0,D280,VLOOKUP($A281,'物料分类表 R22'!$B$2:$H$1090,D$3*2,FALSE)))</f>
        <v>#REF!</v>
      </c>
      <c r="E281" s="1" t="e">
        <f t="shared" si="13"/>
        <v>#REF!</v>
      </c>
      <c r="F281" s="1" t="e">
        <f t="shared" si="14"/>
        <v>#REF!</v>
      </c>
      <c r="G281" s="1" t="e">
        <f t="shared" si="15"/>
        <v>#REF!</v>
      </c>
      <c r="P281" s="1" t="s">
        <v>2279</v>
      </c>
      <c r="Q281" s="2" t="s">
        <v>1909</v>
      </c>
    </row>
    <row r="282" customHeight="1" spans="1:17">
      <c r="A282" s="1">
        <f>IF(MAX($A$2:A281)=$B$1,"",MAX($A$2:A281)+1)</f>
        <v>279</v>
      </c>
      <c r="B282" s="2" t="e">
        <f>IF(COUNT($A282)=0,"",VLOOKUP($A282,'物料分类表 R22'!$B$2:$H$1090,C282*2,FALSE))</f>
        <v>#REF!</v>
      </c>
      <c r="C282" s="2" t="e">
        <f>SUMIFS('物料分类表 R22'!#REF!,'物料分类表 R22'!$B$2:$B$1090,A282)</f>
        <v>#REF!</v>
      </c>
      <c r="D282" s="2" t="e">
        <f>IF(COUNT($A282)=0,"",IF(VLOOKUP($A282,'物料分类表 R22'!$B$2:$H$1090,D$3*2,FALSE)=0,D281,VLOOKUP($A282,'物料分类表 R22'!$B$2:$H$1090,D$3*2,FALSE)))</f>
        <v>#REF!</v>
      </c>
      <c r="E282" s="1" t="e">
        <f t="shared" si="13"/>
        <v>#REF!</v>
      </c>
      <c r="F282" s="1" t="e">
        <f t="shared" si="14"/>
        <v>#REF!</v>
      </c>
      <c r="G282" s="1" t="e">
        <f t="shared" si="15"/>
        <v>#REF!</v>
      </c>
      <c r="P282" s="1" t="s">
        <v>2280</v>
      </c>
      <c r="Q282" s="2" t="s">
        <v>1911</v>
      </c>
    </row>
    <row r="283" customHeight="1" spans="1:17">
      <c r="A283" s="1">
        <f>IF(MAX($A$2:A282)=$B$1,"",MAX($A$2:A282)+1)</f>
        <v>280</v>
      </c>
      <c r="B283" s="2" t="e">
        <f>IF(COUNT($A283)=0,"",VLOOKUP($A283,'物料分类表 R22'!$B$2:$H$1090,C283*2,FALSE))</f>
        <v>#REF!</v>
      </c>
      <c r="C283" s="2" t="e">
        <f>SUMIFS('物料分类表 R22'!#REF!,'物料分类表 R22'!$B$2:$B$1090,A283)</f>
        <v>#REF!</v>
      </c>
      <c r="D283" s="2" t="e">
        <f>IF(COUNT($A283)=0,"",IF(VLOOKUP($A283,'物料分类表 R22'!$B$2:$H$1090,D$3*2,FALSE)=0,D282,VLOOKUP($A283,'物料分类表 R22'!$B$2:$H$1090,D$3*2,FALSE)))</f>
        <v>#REF!</v>
      </c>
      <c r="E283" s="1" t="e">
        <f t="shared" si="13"/>
        <v>#REF!</v>
      </c>
      <c r="F283" s="1" t="e">
        <f t="shared" si="14"/>
        <v>#REF!</v>
      </c>
      <c r="G283" s="1" t="e">
        <f t="shared" si="15"/>
        <v>#REF!</v>
      </c>
      <c r="P283" s="1" t="s">
        <v>2281</v>
      </c>
      <c r="Q283" s="2" t="s">
        <v>1913</v>
      </c>
    </row>
    <row r="284" customHeight="1" spans="1:17">
      <c r="A284" s="1">
        <f>IF(MAX($A$2:A283)=$B$1,"",MAX($A$2:A283)+1)</f>
        <v>281</v>
      </c>
      <c r="B284" s="2" t="e">
        <f>IF(COUNT($A284)=0,"",VLOOKUP($A284,'物料分类表 R22'!$B$2:$H$1090,C284*2,FALSE))</f>
        <v>#REF!</v>
      </c>
      <c r="C284" s="2" t="e">
        <f>SUMIFS('物料分类表 R22'!#REF!,'物料分类表 R22'!$B$2:$B$1090,A284)</f>
        <v>#REF!</v>
      </c>
      <c r="D284" s="2" t="e">
        <f>IF(COUNT($A284)=0,"",IF(VLOOKUP($A284,'物料分类表 R22'!$B$2:$H$1090,D$3*2,FALSE)=0,D283,VLOOKUP($A284,'物料分类表 R22'!$B$2:$H$1090,D$3*2,FALSE)))</f>
        <v>#REF!</v>
      </c>
      <c r="E284" s="1" t="e">
        <f t="shared" si="13"/>
        <v>#REF!</v>
      </c>
      <c r="F284" s="1" t="e">
        <f t="shared" si="14"/>
        <v>#REF!</v>
      </c>
      <c r="G284" s="1" t="e">
        <f t="shared" si="15"/>
        <v>#REF!</v>
      </c>
      <c r="P284" s="1" t="s">
        <v>2282</v>
      </c>
      <c r="Q284" s="2" t="s">
        <v>1915</v>
      </c>
    </row>
    <row r="285" customHeight="1" spans="1:17">
      <c r="A285" s="1">
        <f>IF(MAX($A$2:A284)=$B$1,"",MAX($A$2:A284)+1)</f>
        <v>282</v>
      </c>
      <c r="B285" s="2" t="e">
        <f>IF(COUNT($A285)=0,"",VLOOKUP($A285,'物料分类表 R22'!$B$2:$H$1090,C285*2,FALSE))</f>
        <v>#REF!</v>
      </c>
      <c r="C285" s="2" t="e">
        <f>SUMIFS('物料分类表 R22'!#REF!,'物料分类表 R22'!$B$2:$B$1090,A285)</f>
        <v>#REF!</v>
      </c>
      <c r="D285" s="2" t="e">
        <f>IF(COUNT($A285)=0,"",IF(VLOOKUP($A285,'物料分类表 R22'!$B$2:$H$1090,D$3*2,FALSE)=0,D284,VLOOKUP($A285,'物料分类表 R22'!$B$2:$H$1090,D$3*2,FALSE)))</f>
        <v>#REF!</v>
      </c>
      <c r="E285" s="1" t="e">
        <f t="shared" si="13"/>
        <v>#REF!</v>
      </c>
      <c r="F285" s="1" t="e">
        <f t="shared" si="14"/>
        <v>#REF!</v>
      </c>
      <c r="G285" s="1" t="e">
        <f t="shared" si="15"/>
        <v>#REF!</v>
      </c>
      <c r="P285" s="1" t="s">
        <v>2283</v>
      </c>
      <c r="Q285" s="2" t="s">
        <v>2284</v>
      </c>
    </row>
    <row r="286" customHeight="1" spans="1:17">
      <c r="A286" s="1">
        <f>IF(MAX($A$2:A285)=$B$1,"",MAX($A$2:A285)+1)</f>
        <v>283</v>
      </c>
      <c r="B286" s="2" t="e">
        <f>IF(COUNT($A286)=0,"",VLOOKUP($A286,'物料分类表 R22'!$B$2:$H$1090,C286*2,FALSE))</f>
        <v>#REF!</v>
      </c>
      <c r="C286" s="2" t="e">
        <f>SUMIFS('物料分类表 R22'!#REF!,'物料分类表 R22'!$B$2:$B$1090,A286)</f>
        <v>#REF!</v>
      </c>
      <c r="D286" s="2" t="e">
        <f>IF(COUNT($A286)=0,"",IF(VLOOKUP($A286,'物料分类表 R22'!$B$2:$H$1090,D$3*2,FALSE)=0,D285,VLOOKUP($A286,'物料分类表 R22'!$B$2:$H$1090,D$3*2,FALSE)))</f>
        <v>#REF!</v>
      </c>
      <c r="E286" s="1" t="e">
        <f t="shared" si="13"/>
        <v>#REF!</v>
      </c>
      <c r="F286" s="1" t="e">
        <f t="shared" si="14"/>
        <v>#REF!</v>
      </c>
      <c r="G286" s="1" t="e">
        <f t="shared" si="15"/>
        <v>#REF!</v>
      </c>
      <c r="P286" s="1" t="s">
        <v>2285</v>
      </c>
      <c r="Q286" s="2" t="s">
        <v>1919</v>
      </c>
    </row>
    <row r="287" customHeight="1" spans="1:17">
      <c r="A287" s="1">
        <f>IF(MAX($A$2:A286)=$B$1,"",MAX($A$2:A286)+1)</f>
        <v>284</v>
      </c>
      <c r="B287" s="2" t="e">
        <f>IF(COUNT($A287)=0,"",VLOOKUP($A287,'物料分类表 R22'!$B$2:$H$1090,C287*2,FALSE))</f>
        <v>#REF!</v>
      </c>
      <c r="C287" s="2" t="e">
        <f>SUMIFS('物料分类表 R22'!#REF!,'物料分类表 R22'!$B$2:$B$1090,A287)</f>
        <v>#REF!</v>
      </c>
      <c r="D287" s="2" t="e">
        <f>IF(COUNT($A287)=0,"",IF(VLOOKUP($A287,'物料分类表 R22'!$B$2:$H$1090,D$3*2,FALSE)=0,D286,VLOOKUP($A287,'物料分类表 R22'!$B$2:$H$1090,D$3*2,FALSE)))</f>
        <v>#REF!</v>
      </c>
      <c r="E287" s="1" t="e">
        <f t="shared" si="13"/>
        <v>#REF!</v>
      </c>
      <c r="F287" s="1" t="e">
        <f t="shared" si="14"/>
        <v>#REF!</v>
      </c>
      <c r="G287" s="1" t="e">
        <f t="shared" si="15"/>
        <v>#REF!</v>
      </c>
      <c r="P287" s="1" t="s">
        <v>2286</v>
      </c>
      <c r="Q287" s="2" t="s">
        <v>2287</v>
      </c>
    </row>
    <row r="288" customHeight="1" spans="1:17">
      <c r="A288" s="1">
        <f>IF(MAX($A$2:A287)=$B$1,"",MAX($A$2:A287)+1)</f>
        <v>285</v>
      </c>
      <c r="B288" s="2" t="e">
        <f>IF(COUNT($A288)=0,"",VLOOKUP($A288,'物料分类表 R22'!$B$2:$H$1090,C288*2,FALSE))</f>
        <v>#REF!</v>
      </c>
      <c r="C288" s="2" t="e">
        <f>SUMIFS('物料分类表 R22'!#REF!,'物料分类表 R22'!$B$2:$B$1090,A288)</f>
        <v>#REF!</v>
      </c>
      <c r="D288" s="2" t="e">
        <f>IF(COUNT($A288)=0,"",IF(VLOOKUP($A288,'物料分类表 R22'!$B$2:$H$1090,D$3*2,FALSE)=0,D287,VLOOKUP($A288,'物料分类表 R22'!$B$2:$H$1090,D$3*2,FALSE)))</f>
        <v>#REF!</v>
      </c>
      <c r="E288" s="1" t="e">
        <f t="shared" si="13"/>
        <v>#REF!</v>
      </c>
      <c r="F288" s="1" t="e">
        <f t="shared" si="14"/>
        <v>#REF!</v>
      </c>
      <c r="G288" s="1" t="e">
        <f t="shared" si="15"/>
        <v>#REF!</v>
      </c>
      <c r="P288" s="1" t="s">
        <v>2288</v>
      </c>
      <c r="Q288" s="2" t="s">
        <v>1923</v>
      </c>
    </row>
    <row r="289" customHeight="1" spans="1:17">
      <c r="A289" s="1">
        <f>IF(MAX($A$2:A288)=$B$1,"",MAX($A$2:A288)+1)</f>
        <v>286</v>
      </c>
      <c r="B289" s="2" t="e">
        <f>IF(COUNT($A289)=0,"",VLOOKUP($A289,'物料分类表 R22'!$B$2:$H$1090,C289*2,FALSE))</f>
        <v>#REF!</v>
      </c>
      <c r="C289" s="2" t="e">
        <f>SUMIFS('物料分类表 R22'!#REF!,'物料分类表 R22'!$B$2:$B$1090,A289)</f>
        <v>#REF!</v>
      </c>
      <c r="D289" s="2" t="e">
        <f>IF(COUNT($A289)=0,"",IF(VLOOKUP($A289,'物料分类表 R22'!$B$2:$H$1090,D$3*2,FALSE)=0,D288,VLOOKUP($A289,'物料分类表 R22'!$B$2:$H$1090,D$3*2,FALSE)))</f>
        <v>#REF!</v>
      </c>
      <c r="E289" s="1" t="e">
        <f t="shared" si="13"/>
        <v>#REF!</v>
      </c>
      <c r="F289" s="1" t="e">
        <f t="shared" si="14"/>
        <v>#REF!</v>
      </c>
      <c r="G289" s="1" t="e">
        <f t="shared" si="15"/>
        <v>#REF!</v>
      </c>
      <c r="P289" s="1" t="s">
        <v>2289</v>
      </c>
      <c r="Q289" s="2" t="s">
        <v>2290</v>
      </c>
    </row>
    <row r="290" customHeight="1" spans="1:17">
      <c r="A290" s="1">
        <f>IF(MAX($A$2:A289)=$B$1,"",MAX($A$2:A289)+1)</f>
        <v>287</v>
      </c>
      <c r="B290" s="2" t="e">
        <f>IF(COUNT($A290)=0,"",VLOOKUP($A290,'物料分类表 R22'!$B$2:$H$1090,C290*2,FALSE))</f>
        <v>#REF!</v>
      </c>
      <c r="C290" s="2" t="e">
        <f>SUMIFS('物料分类表 R22'!#REF!,'物料分类表 R22'!$B$2:$B$1090,A290)</f>
        <v>#REF!</v>
      </c>
      <c r="D290" s="2" t="e">
        <f>IF(COUNT($A290)=0,"",IF(VLOOKUP($A290,'物料分类表 R22'!$B$2:$H$1090,D$3*2,FALSE)=0,D289,VLOOKUP($A290,'物料分类表 R22'!$B$2:$H$1090,D$3*2,FALSE)))</f>
        <v>#REF!</v>
      </c>
      <c r="E290" s="1" t="e">
        <f t="shared" si="13"/>
        <v>#REF!</v>
      </c>
      <c r="F290" s="1" t="e">
        <f t="shared" si="14"/>
        <v>#REF!</v>
      </c>
      <c r="G290" s="1" t="e">
        <f t="shared" si="15"/>
        <v>#REF!</v>
      </c>
      <c r="P290" s="1" t="s">
        <v>2291</v>
      </c>
      <c r="Q290" s="2" t="s">
        <v>1925</v>
      </c>
    </row>
    <row r="291" customHeight="1" spans="1:17">
      <c r="A291" s="1">
        <f>IF(MAX($A$2:A290)=$B$1,"",MAX($A$2:A290)+1)</f>
        <v>288</v>
      </c>
      <c r="B291" s="2" t="e">
        <f>IF(COUNT($A291)=0,"",VLOOKUP($A291,'物料分类表 R22'!$B$2:$H$1090,C291*2,FALSE))</f>
        <v>#REF!</v>
      </c>
      <c r="C291" s="2" t="e">
        <f>SUMIFS('物料分类表 R22'!#REF!,'物料分类表 R22'!$B$2:$B$1090,A291)</f>
        <v>#REF!</v>
      </c>
      <c r="D291" s="2" t="e">
        <f>IF(COUNT($A291)=0,"",IF(VLOOKUP($A291,'物料分类表 R22'!$B$2:$H$1090,D$3*2,FALSE)=0,D290,VLOOKUP($A291,'物料分类表 R22'!$B$2:$H$1090,D$3*2,FALSE)))</f>
        <v>#REF!</v>
      </c>
      <c r="E291" s="1" t="e">
        <f t="shared" si="13"/>
        <v>#REF!</v>
      </c>
      <c r="F291" s="1" t="e">
        <f t="shared" si="14"/>
        <v>#REF!</v>
      </c>
      <c r="G291" s="1" t="e">
        <f t="shared" si="15"/>
        <v>#REF!</v>
      </c>
      <c r="P291" s="1" t="s">
        <v>2292</v>
      </c>
      <c r="Q291" s="2" t="s">
        <v>1927</v>
      </c>
    </row>
    <row r="292" customHeight="1" spans="1:17">
      <c r="A292" s="1">
        <f>IF(MAX($A$2:A291)=$B$1,"",MAX($A$2:A291)+1)</f>
        <v>289</v>
      </c>
      <c r="B292" s="2" t="e">
        <f>IF(COUNT($A292)=0,"",VLOOKUP($A292,'物料分类表 R22'!$B$2:$H$1090,C292*2,FALSE))</f>
        <v>#REF!</v>
      </c>
      <c r="C292" s="2" t="e">
        <f>SUMIFS('物料分类表 R22'!#REF!,'物料分类表 R22'!$B$2:$B$1090,A292)</f>
        <v>#REF!</v>
      </c>
      <c r="D292" s="2" t="e">
        <f>IF(COUNT($A292)=0,"",IF(VLOOKUP($A292,'物料分类表 R22'!$B$2:$H$1090,D$3*2,FALSE)=0,D291,VLOOKUP($A292,'物料分类表 R22'!$B$2:$H$1090,D$3*2,FALSE)))</f>
        <v>#REF!</v>
      </c>
      <c r="E292" s="1" t="e">
        <f t="shared" si="13"/>
        <v>#REF!</v>
      </c>
      <c r="F292" s="1" t="e">
        <f t="shared" si="14"/>
        <v>#REF!</v>
      </c>
      <c r="G292" s="1" t="e">
        <f t="shared" si="15"/>
        <v>#REF!</v>
      </c>
      <c r="P292" s="1" t="s">
        <v>2293</v>
      </c>
      <c r="Q292" s="2" t="s">
        <v>1929</v>
      </c>
    </row>
    <row r="293" customHeight="1" spans="1:17">
      <c r="A293" s="1">
        <f>IF(MAX($A$2:A292)=$B$1,"",MAX($A$2:A292)+1)</f>
        <v>290</v>
      </c>
      <c r="B293" s="2" t="e">
        <f>IF(COUNT($A293)=0,"",VLOOKUP($A293,'物料分类表 R22'!$B$2:$H$1090,C293*2,FALSE))</f>
        <v>#REF!</v>
      </c>
      <c r="C293" s="2" t="e">
        <f>SUMIFS('物料分类表 R22'!#REF!,'物料分类表 R22'!$B$2:$B$1090,A293)</f>
        <v>#REF!</v>
      </c>
      <c r="D293" s="2" t="e">
        <f>IF(COUNT($A293)=0,"",IF(VLOOKUP($A293,'物料分类表 R22'!$B$2:$H$1090,D$3*2,FALSE)=0,D292,VLOOKUP($A293,'物料分类表 R22'!$B$2:$H$1090,D$3*2,FALSE)))</f>
        <v>#REF!</v>
      </c>
      <c r="E293" s="1" t="e">
        <f t="shared" si="13"/>
        <v>#REF!</v>
      </c>
      <c r="F293" s="1" t="e">
        <f t="shared" si="14"/>
        <v>#REF!</v>
      </c>
      <c r="G293" s="1" t="e">
        <f t="shared" si="15"/>
        <v>#REF!</v>
      </c>
      <c r="P293" s="1" t="s">
        <v>2294</v>
      </c>
      <c r="Q293" s="2" t="s">
        <v>1931</v>
      </c>
    </row>
    <row r="294" customHeight="1" spans="1:17">
      <c r="A294" s="1">
        <f>IF(MAX($A$2:A293)=$B$1,"",MAX($A$2:A293)+1)</f>
        <v>291</v>
      </c>
      <c r="B294" s="2" t="e">
        <f>IF(COUNT($A294)=0,"",VLOOKUP($A294,'物料分类表 R22'!$B$2:$H$1090,C294*2,FALSE))</f>
        <v>#REF!</v>
      </c>
      <c r="C294" s="2" t="e">
        <f>SUMIFS('物料分类表 R22'!#REF!,'物料分类表 R22'!$B$2:$B$1090,A294)</f>
        <v>#REF!</v>
      </c>
      <c r="D294" s="2" t="e">
        <f>IF(COUNT($A294)=0,"",IF(VLOOKUP($A294,'物料分类表 R22'!$B$2:$H$1090,D$3*2,FALSE)=0,D293,VLOOKUP($A294,'物料分类表 R22'!$B$2:$H$1090,D$3*2,FALSE)))</f>
        <v>#REF!</v>
      </c>
      <c r="E294" s="1" t="e">
        <f t="shared" si="13"/>
        <v>#REF!</v>
      </c>
      <c r="F294" s="1" t="e">
        <f t="shared" si="14"/>
        <v>#REF!</v>
      </c>
      <c r="G294" s="1" t="e">
        <f t="shared" si="15"/>
        <v>#REF!</v>
      </c>
      <c r="P294" s="1" t="s">
        <v>2295</v>
      </c>
      <c r="Q294" s="2" t="s">
        <v>2296</v>
      </c>
    </row>
    <row r="295" customHeight="1" spans="1:17">
      <c r="A295" s="1">
        <f>IF(MAX($A$2:A294)=$B$1,"",MAX($A$2:A294)+1)</f>
        <v>292</v>
      </c>
      <c r="B295" s="2" t="e">
        <f>IF(COUNT($A295)=0,"",VLOOKUP($A295,'物料分类表 R22'!$B$2:$H$1090,C295*2,FALSE))</f>
        <v>#REF!</v>
      </c>
      <c r="C295" s="2" t="e">
        <f>SUMIFS('物料分类表 R22'!#REF!,'物料分类表 R22'!$B$2:$B$1090,A295)</f>
        <v>#REF!</v>
      </c>
      <c r="D295" s="2" t="e">
        <f>IF(COUNT($A295)=0,"",IF(VLOOKUP($A295,'物料分类表 R22'!$B$2:$H$1090,D$3*2,FALSE)=0,D294,VLOOKUP($A295,'物料分类表 R22'!$B$2:$H$1090,D$3*2,FALSE)))</f>
        <v>#REF!</v>
      </c>
      <c r="E295" s="1" t="e">
        <f t="shared" si="13"/>
        <v>#REF!</v>
      </c>
      <c r="F295" s="1" t="e">
        <f t="shared" si="14"/>
        <v>#REF!</v>
      </c>
      <c r="G295" s="1" t="e">
        <f t="shared" si="15"/>
        <v>#REF!</v>
      </c>
      <c r="P295" s="1" t="s">
        <v>2297</v>
      </c>
      <c r="Q295" s="2" t="s">
        <v>1935</v>
      </c>
    </row>
    <row r="296" customHeight="1" spans="1:17">
      <c r="A296" s="1">
        <f>IF(MAX($A$2:A295)=$B$1,"",MAX($A$2:A295)+1)</f>
        <v>293</v>
      </c>
      <c r="B296" s="2" t="e">
        <f>IF(COUNT($A296)=0,"",VLOOKUP($A296,'物料分类表 R22'!$B$2:$H$1090,C296*2,FALSE))</f>
        <v>#REF!</v>
      </c>
      <c r="C296" s="2" t="e">
        <f>SUMIFS('物料分类表 R22'!#REF!,'物料分类表 R22'!$B$2:$B$1090,A296)</f>
        <v>#REF!</v>
      </c>
      <c r="D296" s="2" t="e">
        <f>IF(COUNT($A296)=0,"",IF(VLOOKUP($A296,'物料分类表 R22'!$B$2:$H$1090,D$3*2,FALSE)=0,D295,VLOOKUP($A296,'物料分类表 R22'!$B$2:$H$1090,D$3*2,FALSE)))</f>
        <v>#REF!</v>
      </c>
      <c r="E296" s="1" t="e">
        <f t="shared" si="13"/>
        <v>#REF!</v>
      </c>
      <c r="F296" s="1" t="e">
        <f t="shared" si="14"/>
        <v>#REF!</v>
      </c>
      <c r="G296" s="1" t="e">
        <f t="shared" si="15"/>
        <v>#REF!</v>
      </c>
      <c r="P296" s="1" t="s">
        <v>2298</v>
      </c>
      <c r="Q296" s="2" t="s">
        <v>2299</v>
      </c>
    </row>
    <row r="297" customHeight="1" spans="1:7">
      <c r="A297" s="1">
        <f>IF(MAX($A$2:A296)=$B$1,"",MAX($A$2:A296)+1)</f>
        <v>294</v>
      </c>
      <c r="B297" s="2" t="e">
        <f>IF(COUNT($A297)=0,"",VLOOKUP($A297,'物料分类表 R22'!$B$2:$H$1090,C297*2,FALSE))</f>
        <v>#REF!</v>
      </c>
      <c r="C297" s="2" t="e">
        <f>SUMIFS('物料分类表 R22'!#REF!,'物料分类表 R22'!$B$2:$B$1090,A297)</f>
        <v>#REF!</v>
      </c>
      <c r="D297" s="2" t="e">
        <f>IF(COUNT($A297)=0,"",IF(VLOOKUP($A297,'物料分类表 R22'!$B$2:$H$1090,D$3*2,FALSE)=0,D296,VLOOKUP($A297,'物料分类表 R22'!$B$2:$H$1090,D$3*2,FALSE)))</f>
        <v>#REF!</v>
      </c>
      <c r="E297" s="1" t="e">
        <f t="shared" si="13"/>
        <v>#REF!</v>
      </c>
      <c r="F297" s="1" t="e">
        <f t="shared" si="14"/>
        <v>#REF!</v>
      </c>
      <c r="G297" s="1" t="e">
        <f t="shared" si="15"/>
        <v>#REF!</v>
      </c>
    </row>
    <row r="298" customHeight="1" spans="1:7">
      <c r="A298" s="1">
        <f>IF(MAX($A$2:A297)=$B$1,"",MAX($A$2:A297)+1)</f>
        <v>295</v>
      </c>
      <c r="B298" s="2" t="e">
        <f>IF(COUNT($A298)=0,"",VLOOKUP($A298,'物料分类表 R22'!$B$2:$H$1090,C298*2,FALSE))</f>
        <v>#REF!</v>
      </c>
      <c r="C298" s="2" t="e">
        <f>SUMIFS('物料分类表 R22'!#REF!,'物料分类表 R22'!$B$2:$B$1090,A298)</f>
        <v>#REF!</v>
      </c>
      <c r="D298" s="2" t="e">
        <f>IF(COUNT($A298)=0,"",IF(VLOOKUP($A298,'物料分类表 R22'!$B$2:$H$1090,D$3*2,FALSE)=0,D297,VLOOKUP($A298,'物料分类表 R22'!$B$2:$H$1090,D$3*2,FALSE)))</f>
        <v>#REF!</v>
      </c>
      <c r="E298" s="1" t="e">
        <f t="shared" si="13"/>
        <v>#REF!</v>
      </c>
      <c r="F298" s="1" t="e">
        <f t="shared" si="14"/>
        <v>#REF!</v>
      </c>
      <c r="G298" s="1" t="e">
        <f t="shared" si="15"/>
        <v>#REF!</v>
      </c>
    </row>
    <row r="299" customHeight="1" spans="1:7">
      <c r="A299" s="1">
        <f>IF(MAX($A$2:A298)=$B$1,"",MAX($A$2:A298)+1)</f>
        <v>296</v>
      </c>
      <c r="B299" s="2" t="e">
        <f>IF(COUNT($A299)=0,"",VLOOKUP($A299,'物料分类表 R22'!$B$2:$H$1090,C299*2,FALSE))</f>
        <v>#REF!</v>
      </c>
      <c r="C299" s="2" t="e">
        <f>SUMIFS('物料分类表 R22'!#REF!,'物料分类表 R22'!$B$2:$B$1090,A299)</f>
        <v>#REF!</v>
      </c>
      <c r="D299" s="2" t="e">
        <f>IF(COUNT($A299)=0,"",IF(VLOOKUP($A299,'物料分类表 R22'!$B$2:$H$1090,D$3*2,FALSE)=0,D298,VLOOKUP($A299,'物料分类表 R22'!$B$2:$H$1090,D$3*2,FALSE)))</f>
        <v>#REF!</v>
      </c>
      <c r="E299" s="1" t="e">
        <f t="shared" ref="E299:E362" si="16">IF(COUNT($A299)=0,"",VLOOKUP(MID($D299,1,1),$P:$Q,2,FALSE))</f>
        <v>#REF!</v>
      </c>
      <c r="F299" s="1" t="e">
        <f t="shared" ref="F299:F362" si="17">IF(COUNT($A299)=0,"",VLOOKUP(MID($D299,1,2),$P:$Q,2,FALSE))</f>
        <v>#REF!</v>
      </c>
      <c r="G299" s="1" t="e">
        <f t="shared" ref="G299:G362" si="18">IF(COUNT($A299)=0,"",IF(C299=4,IF(COUNT($A299)=0,"",VLOOKUP(MID($D299,1,3),$P:$Q,2,FALSE)),""))</f>
        <v>#REF!</v>
      </c>
    </row>
    <row r="300" customHeight="1" spans="1:7">
      <c r="A300" s="1">
        <f>IF(MAX($A$2:A299)=$B$1,"",MAX($A$2:A299)+1)</f>
        <v>297</v>
      </c>
      <c r="B300" s="2" t="e">
        <f>IF(COUNT($A300)=0,"",VLOOKUP($A300,'物料分类表 R22'!$B$2:$H$1090,C300*2,FALSE))</f>
        <v>#REF!</v>
      </c>
      <c r="C300" s="2" t="e">
        <f>SUMIFS('物料分类表 R22'!#REF!,'物料分类表 R22'!$B$2:$B$1090,A300)</f>
        <v>#REF!</v>
      </c>
      <c r="D300" s="2" t="e">
        <f>IF(COUNT($A300)=0,"",IF(VLOOKUP($A300,'物料分类表 R22'!$B$2:$H$1090,D$3*2,FALSE)=0,D299,VLOOKUP($A300,'物料分类表 R22'!$B$2:$H$1090,D$3*2,FALSE)))</f>
        <v>#REF!</v>
      </c>
      <c r="E300" s="1" t="e">
        <f t="shared" si="16"/>
        <v>#REF!</v>
      </c>
      <c r="F300" s="1" t="e">
        <f t="shared" si="17"/>
        <v>#REF!</v>
      </c>
      <c r="G300" s="1" t="e">
        <f t="shared" si="18"/>
        <v>#REF!</v>
      </c>
    </row>
    <row r="301" customHeight="1" spans="1:7">
      <c r="A301" s="1">
        <f>IF(MAX($A$2:A300)=$B$1,"",MAX($A$2:A300)+1)</f>
        <v>298</v>
      </c>
      <c r="B301" s="2" t="e">
        <f>IF(COUNT($A301)=0,"",VLOOKUP($A301,'物料分类表 R22'!$B$2:$H$1090,C301*2,FALSE))</f>
        <v>#REF!</v>
      </c>
      <c r="C301" s="2" t="e">
        <f>SUMIFS('物料分类表 R22'!#REF!,'物料分类表 R22'!$B$2:$B$1090,A301)</f>
        <v>#REF!</v>
      </c>
      <c r="D301" s="2" t="e">
        <f>IF(COUNT($A301)=0,"",IF(VLOOKUP($A301,'物料分类表 R22'!$B$2:$H$1090,D$3*2,FALSE)=0,D300,VLOOKUP($A301,'物料分类表 R22'!$B$2:$H$1090,D$3*2,FALSE)))</f>
        <v>#REF!</v>
      </c>
      <c r="E301" s="1" t="e">
        <f t="shared" si="16"/>
        <v>#REF!</v>
      </c>
      <c r="F301" s="1" t="e">
        <f t="shared" si="17"/>
        <v>#REF!</v>
      </c>
      <c r="G301" s="1" t="e">
        <f t="shared" si="18"/>
        <v>#REF!</v>
      </c>
    </row>
    <row r="302" customHeight="1" spans="1:7">
      <c r="A302" s="1">
        <f>IF(MAX($A$2:A301)=$B$1,"",MAX($A$2:A301)+1)</f>
        <v>299</v>
      </c>
      <c r="B302" s="2" t="e">
        <f>IF(COUNT($A302)=0,"",VLOOKUP($A302,'物料分类表 R22'!$B$2:$H$1090,C302*2,FALSE))</f>
        <v>#REF!</v>
      </c>
      <c r="C302" s="2" t="e">
        <f>SUMIFS('物料分类表 R22'!#REF!,'物料分类表 R22'!$B$2:$B$1090,A302)</f>
        <v>#REF!</v>
      </c>
      <c r="D302" s="2" t="e">
        <f>IF(COUNT($A302)=0,"",IF(VLOOKUP($A302,'物料分类表 R22'!$B$2:$H$1090,D$3*2,FALSE)=0,D301,VLOOKUP($A302,'物料分类表 R22'!$B$2:$H$1090,D$3*2,FALSE)))</f>
        <v>#REF!</v>
      </c>
      <c r="E302" s="1" t="e">
        <f t="shared" si="16"/>
        <v>#REF!</v>
      </c>
      <c r="F302" s="1" t="e">
        <f t="shared" si="17"/>
        <v>#REF!</v>
      </c>
      <c r="G302" s="1" t="e">
        <f t="shared" si="18"/>
        <v>#REF!</v>
      </c>
    </row>
    <row r="303" customHeight="1" spans="1:7">
      <c r="A303" s="1">
        <f>IF(MAX($A$2:A302)=$B$1,"",MAX($A$2:A302)+1)</f>
        <v>300</v>
      </c>
      <c r="B303" s="2" t="e">
        <f>IF(COUNT($A303)=0,"",VLOOKUP($A303,'物料分类表 R22'!$B$2:$H$1090,C303*2,FALSE))</f>
        <v>#REF!</v>
      </c>
      <c r="C303" s="2" t="e">
        <f>SUMIFS('物料分类表 R22'!#REF!,'物料分类表 R22'!$B$2:$B$1090,A303)</f>
        <v>#REF!</v>
      </c>
      <c r="D303" s="2" t="e">
        <f>IF(COUNT($A303)=0,"",IF(VLOOKUP($A303,'物料分类表 R22'!$B$2:$H$1090,D$3*2,FALSE)=0,D302,VLOOKUP($A303,'物料分类表 R22'!$B$2:$H$1090,D$3*2,FALSE)))</f>
        <v>#REF!</v>
      </c>
      <c r="E303" s="1" t="e">
        <f t="shared" si="16"/>
        <v>#REF!</v>
      </c>
      <c r="F303" s="1" t="e">
        <f t="shared" si="17"/>
        <v>#REF!</v>
      </c>
      <c r="G303" s="1" t="e">
        <f t="shared" si="18"/>
        <v>#REF!</v>
      </c>
    </row>
    <row r="304" customHeight="1" spans="1:7">
      <c r="A304" s="1">
        <f>IF(MAX($A$2:A303)=$B$1,"",MAX($A$2:A303)+1)</f>
        <v>301</v>
      </c>
      <c r="B304" s="2" t="e">
        <f>IF(COUNT($A304)=0,"",VLOOKUP($A304,'物料分类表 R22'!$B$2:$H$1090,C304*2,FALSE))</f>
        <v>#REF!</v>
      </c>
      <c r="C304" s="2" t="e">
        <f>SUMIFS('物料分类表 R22'!#REF!,'物料分类表 R22'!$B$2:$B$1090,A304)</f>
        <v>#REF!</v>
      </c>
      <c r="D304" s="2" t="e">
        <f>IF(COUNT($A304)=0,"",IF(VLOOKUP($A304,'物料分类表 R22'!$B$2:$H$1090,D$3*2,FALSE)=0,D303,VLOOKUP($A304,'物料分类表 R22'!$B$2:$H$1090,D$3*2,FALSE)))</f>
        <v>#REF!</v>
      </c>
      <c r="E304" s="1" t="e">
        <f t="shared" si="16"/>
        <v>#REF!</v>
      </c>
      <c r="F304" s="1" t="e">
        <f t="shared" si="17"/>
        <v>#REF!</v>
      </c>
      <c r="G304" s="1" t="e">
        <f t="shared" si="18"/>
        <v>#REF!</v>
      </c>
    </row>
    <row r="305" customHeight="1" spans="1:7">
      <c r="A305" s="1">
        <f>IF(MAX($A$2:A304)=$B$1,"",MAX($A$2:A304)+1)</f>
        <v>302</v>
      </c>
      <c r="B305" s="2" t="e">
        <f>IF(COUNT($A305)=0,"",VLOOKUP($A305,'物料分类表 R22'!$B$2:$H$1090,C305*2,FALSE))</f>
        <v>#REF!</v>
      </c>
      <c r="C305" s="2" t="e">
        <f>SUMIFS('物料分类表 R22'!#REF!,'物料分类表 R22'!$B$2:$B$1090,A305)</f>
        <v>#REF!</v>
      </c>
      <c r="D305" s="2" t="e">
        <f>IF(COUNT($A305)=0,"",IF(VLOOKUP($A305,'物料分类表 R22'!$B$2:$H$1090,D$3*2,FALSE)=0,D304,VLOOKUP($A305,'物料分类表 R22'!$B$2:$H$1090,D$3*2,FALSE)))</f>
        <v>#REF!</v>
      </c>
      <c r="E305" s="1" t="e">
        <f t="shared" si="16"/>
        <v>#REF!</v>
      </c>
      <c r="F305" s="1" t="e">
        <f t="shared" si="17"/>
        <v>#REF!</v>
      </c>
      <c r="G305" s="1" t="e">
        <f t="shared" si="18"/>
        <v>#REF!</v>
      </c>
    </row>
    <row r="306" customHeight="1" spans="1:7">
      <c r="A306" s="1">
        <f>IF(MAX($A$2:A305)=$B$1,"",MAX($A$2:A305)+1)</f>
        <v>303</v>
      </c>
      <c r="B306" s="2" t="e">
        <f>IF(COUNT($A306)=0,"",VLOOKUP($A306,'物料分类表 R22'!$B$2:$H$1090,C306*2,FALSE))</f>
        <v>#REF!</v>
      </c>
      <c r="C306" s="2" t="e">
        <f>SUMIFS('物料分类表 R22'!#REF!,'物料分类表 R22'!$B$2:$B$1090,A306)</f>
        <v>#REF!</v>
      </c>
      <c r="D306" s="2" t="e">
        <f>IF(COUNT($A306)=0,"",IF(VLOOKUP($A306,'物料分类表 R22'!$B$2:$H$1090,D$3*2,FALSE)=0,D305,VLOOKUP($A306,'物料分类表 R22'!$B$2:$H$1090,D$3*2,FALSE)))</f>
        <v>#REF!</v>
      </c>
      <c r="E306" s="1" t="e">
        <f t="shared" si="16"/>
        <v>#REF!</v>
      </c>
      <c r="F306" s="1" t="e">
        <f t="shared" si="17"/>
        <v>#REF!</v>
      </c>
      <c r="G306" s="1" t="e">
        <f t="shared" si="18"/>
        <v>#REF!</v>
      </c>
    </row>
    <row r="307" customHeight="1" spans="1:7">
      <c r="A307" s="1">
        <f>IF(MAX($A$2:A306)=$B$1,"",MAX($A$2:A306)+1)</f>
        <v>304</v>
      </c>
      <c r="B307" s="2" t="e">
        <f>IF(COUNT($A307)=0,"",VLOOKUP($A307,'物料分类表 R22'!$B$2:$H$1090,C307*2,FALSE))</f>
        <v>#REF!</v>
      </c>
      <c r="C307" s="2" t="e">
        <f>SUMIFS('物料分类表 R22'!#REF!,'物料分类表 R22'!$B$2:$B$1090,A307)</f>
        <v>#REF!</v>
      </c>
      <c r="D307" s="2" t="e">
        <f>IF(COUNT($A307)=0,"",IF(VLOOKUP($A307,'物料分类表 R22'!$B$2:$H$1090,D$3*2,FALSE)=0,D306,VLOOKUP($A307,'物料分类表 R22'!$B$2:$H$1090,D$3*2,FALSE)))</f>
        <v>#REF!</v>
      </c>
      <c r="E307" s="1" t="e">
        <f t="shared" si="16"/>
        <v>#REF!</v>
      </c>
      <c r="F307" s="1" t="e">
        <f t="shared" si="17"/>
        <v>#REF!</v>
      </c>
      <c r="G307" s="1" t="e">
        <f t="shared" si="18"/>
        <v>#REF!</v>
      </c>
    </row>
    <row r="308" customHeight="1" spans="1:7">
      <c r="A308" s="1">
        <f>IF(MAX($A$2:A307)=$B$1,"",MAX($A$2:A307)+1)</f>
        <v>305</v>
      </c>
      <c r="B308" s="2" t="e">
        <f>IF(COUNT($A308)=0,"",VLOOKUP($A308,'物料分类表 R22'!$B$2:$H$1090,C308*2,FALSE))</f>
        <v>#REF!</v>
      </c>
      <c r="C308" s="2" t="e">
        <f>SUMIFS('物料分类表 R22'!#REF!,'物料分类表 R22'!$B$2:$B$1090,A308)</f>
        <v>#REF!</v>
      </c>
      <c r="D308" s="2" t="e">
        <f>IF(COUNT($A308)=0,"",IF(VLOOKUP($A308,'物料分类表 R22'!$B$2:$H$1090,D$3*2,FALSE)=0,D307,VLOOKUP($A308,'物料分类表 R22'!$B$2:$H$1090,D$3*2,FALSE)))</f>
        <v>#REF!</v>
      </c>
      <c r="E308" s="1" t="e">
        <f t="shared" si="16"/>
        <v>#REF!</v>
      </c>
      <c r="F308" s="1" t="e">
        <f t="shared" si="17"/>
        <v>#REF!</v>
      </c>
      <c r="G308" s="1" t="e">
        <f t="shared" si="18"/>
        <v>#REF!</v>
      </c>
    </row>
    <row r="309" customHeight="1" spans="1:7">
      <c r="A309" s="1">
        <f>IF(MAX($A$2:A308)=$B$1,"",MAX($A$2:A308)+1)</f>
        <v>306</v>
      </c>
      <c r="B309" s="2" t="e">
        <f>IF(COUNT($A309)=0,"",VLOOKUP($A309,'物料分类表 R22'!$B$2:$H$1090,C309*2,FALSE))</f>
        <v>#REF!</v>
      </c>
      <c r="C309" s="2" t="e">
        <f>SUMIFS('物料分类表 R22'!#REF!,'物料分类表 R22'!$B$2:$B$1090,A309)</f>
        <v>#REF!</v>
      </c>
      <c r="D309" s="2" t="e">
        <f>IF(COUNT($A309)=0,"",IF(VLOOKUP($A309,'物料分类表 R22'!$B$2:$H$1090,D$3*2,FALSE)=0,D308,VLOOKUP($A309,'物料分类表 R22'!$B$2:$H$1090,D$3*2,FALSE)))</f>
        <v>#REF!</v>
      </c>
      <c r="E309" s="1" t="e">
        <f t="shared" si="16"/>
        <v>#REF!</v>
      </c>
      <c r="F309" s="1" t="e">
        <f t="shared" si="17"/>
        <v>#REF!</v>
      </c>
      <c r="G309" s="1" t="e">
        <f t="shared" si="18"/>
        <v>#REF!</v>
      </c>
    </row>
    <row r="310" customHeight="1" spans="1:7">
      <c r="A310" s="1">
        <f>IF(MAX($A$2:A309)=$B$1,"",MAX($A$2:A309)+1)</f>
        <v>307</v>
      </c>
      <c r="B310" s="2" t="e">
        <f>IF(COUNT($A310)=0,"",VLOOKUP($A310,'物料分类表 R22'!$B$2:$H$1090,C310*2,FALSE))</f>
        <v>#REF!</v>
      </c>
      <c r="C310" s="2" t="e">
        <f>SUMIFS('物料分类表 R22'!#REF!,'物料分类表 R22'!$B$2:$B$1090,A310)</f>
        <v>#REF!</v>
      </c>
      <c r="D310" s="2" t="e">
        <f>IF(COUNT($A310)=0,"",IF(VLOOKUP($A310,'物料分类表 R22'!$B$2:$H$1090,D$3*2,FALSE)=0,D309,VLOOKUP($A310,'物料分类表 R22'!$B$2:$H$1090,D$3*2,FALSE)))</f>
        <v>#REF!</v>
      </c>
      <c r="E310" s="1" t="e">
        <f t="shared" si="16"/>
        <v>#REF!</v>
      </c>
      <c r="F310" s="1" t="e">
        <f t="shared" si="17"/>
        <v>#REF!</v>
      </c>
      <c r="G310" s="1" t="e">
        <f t="shared" si="18"/>
        <v>#REF!</v>
      </c>
    </row>
    <row r="311" customHeight="1" spans="1:7">
      <c r="A311" s="1">
        <f>IF(MAX($A$2:A310)=$B$1,"",MAX($A$2:A310)+1)</f>
        <v>308</v>
      </c>
      <c r="B311" s="2" t="e">
        <f>IF(COUNT($A311)=0,"",VLOOKUP($A311,'物料分类表 R22'!$B$2:$H$1090,C311*2,FALSE))</f>
        <v>#REF!</v>
      </c>
      <c r="C311" s="2" t="e">
        <f>SUMIFS('物料分类表 R22'!#REF!,'物料分类表 R22'!$B$2:$B$1090,A311)</f>
        <v>#REF!</v>
      </c>
      <c r="D311" s="2" t="e">
        <f>IF(COUNT($A311)=0,"",IF(VLOOKUP($A311,'物料分类表 R22'!$B$2:$H$1090,D$3*2,FALSE)=0,D310,VLOOKUP($A311,'物料分类表 R22'!$B$2:$H$1090,D$3*2,FALSE)))</f>
        <v>#REF!</v>
      </c>
      <c r="E311" s="1" t="e">
        <f t="shared" si="16"/>
        <v>#REF!</v>
      </c>
      <c r="F311" s="1" t="e">
        <f t="shared" si="17"/>
        <v>#REF!</v>
      </c>
      <c r="G311" s="1" t="e">
        <f t="shared" si="18"/>
        <v>#REF!</v>
      </c>
    </row>
    <row r="312" customHeight="1" spans="1:7">
      <c r="A312" s="1">
        <f>IF(MAX($A$2:A311)=$B$1,"",MAX($A$2:A311)+1)</f>
        <v>309</v>
      </c>
      <c r="B312" s="2" t="e">
        <f>IF(COUNT($A312)=0,"",VLOOKUP($A312,'物料分类表 R22'!$B$2:$H$1090,C312*2,FALSE))</f>
        <v>#REF!</v>
      </c>
      <c r="C312" s="2" t="e">
        <f>SUMIFS('物料分类表 R22'!#REF!,'物料分类表 R22'!$B$2:$B$1090,A312)</f>
        <v>#REF!</v>
      </c>
      <c r="D312" s="2" t="e">
        <f>IF(COUNT($A312)=0,"",IF(VLOOKUP($A312,'物料分类表 R22'!$B$2:$H$1090,D$3*2,FALSE)=0,D311,VLOOKUP($A312,'物料分类表 R22'!$B$2:$H$1090,D$3*2,FALSE)))</f>
        <v>#REF!</v>
      </c>
      <c r="E312" s="1" t="e">
        <f t="shared" si="16"/>
        <v>#REF!</v>
      </c>
      <c r="F312" s="1" t="e">
        <f t="shared" si="17"/>
        <v>#REF!</v>
      </c>
      <c r="G312" s="1" t="e">
        <f t="shared" si="18"/>
        <v>#REF!</v>
      </c>
    </row>
    <row r="313" customHeight="1" spans="1:7">
      <c r="A313" s="1">
        <f>IF(MAX($A$2:A312)=$B$1,"",MAX($A$2:A312)+1)</f>
        <v>310</v>
      </c>
      <c r="B313" s="2" t="e">
        <f>IF(COUNT($A313)=0,"",VLOOKUP($A313,'物料分类表 R22'!$B$2:$H$1090,C313*2,FALSE))</f>
        <v>#REF!</v>
      </c>
      <c r="C313" s="2" t="e">
        <f>SUMIFS('物料分类表 R22'!#REF!,'物料分类表 R22'!$B$2:$B$1090,A313)</f>
        <v>#REF!</v>
      </c>
      <c r="D313" s="2" t="e">
        <f>IF(COUNT($A313)=0,"",IF(VLOOKUP($A313,'物料分类表 R22'!$B$2:$H$1090,D$3*2,FALSE)=0,D312,VLOOKUP($A313,'物料分类表 R22'!$B$2:$H$1090,D$3*2,FALSE)))</f>
        <v>#REF!</v>
      </c>
      <c r="E313" s="1" t="e">
        <f t="shared" si="16"/>
        <v>#REF!</v>
      </c>
      <c r="F313" s="1" t="e">
        <f t="shared" si="17"/>
        <v>#REF!</v>
      </c>
      <c r="G313" s="1" t="e">
        <f t="shared" si="18"/>
        <v>#REF!</v>
      </c>
    </row>
    <row r="314" customHeight="1" spans="1:7">
      <c r="A314" s="1">
        <f>IF(MAX($A$2:A313)=$B$1,"",MAX($A$2:A313)+1)</f>
        <v>311</v>
      </c>
      <c r="B314" s="2" t="e">
        <f>IF(COUNT($A314)=0,"",VLOOKUP($A314,'物料分类表 R22'!$B$2:$H$1090,C314*2,FALSE))</f>
        <v>#REF!</v>
      </c>
      <c r="C314" s="2" t="e">
        <f>SUMIFS('物料分类表 R22'!#REF!,'物料分类表 R22'!$B$2:$B$1090,A314)</f>
        <v>#REF!</v>
      </c>
      <c r="D314" s="2" t="e">
        <f>IF(COUNT($A314)=0,"",IF(VLOOKUP($A314,'物料分类表 R22'!$B$2:$H$1090,D$3*2,FALSE)=0,D313,VLOOKUP($A314,'物料分类表 R22'!$B$2:$H$1090,D$3*2,FALSE)))</f>
        <v>#REF!</v>
      </c>
      <c r="E314" s="1" t="e">
        <f t="shared" si="16"/>
        <v>#REF!</v>
      </c>
      <c r="F314" s="1" t="e">
        <f t="shared" si="17"/>
        <v>#REF!</v>
      </c>
      <c r="G314" s="1" t="e">
        <f t="shared" si="18"/>
        <v>#REF!</v>
      </c>
    </row>
    <row r="315" customHeight="1" spans="1:7">
      <c r="A315" s="1">
        <f>IF(MAX($A$2:A314)=$B$1,"",MAX($A$2:A314)+1)</f>
        <v>312</v>
      </c>
      <c r="B315" s="2" t="e">
        <f>IF(COUNT($A315)=0,"",VLOOKUP($A315,'物料分类表 R22'!$B$2:$H$1090,C315*2,FALSE))</f>
        <v>#REF!</v>
      </c>
      <c r="C315" s="2" t="e">
        <f>SUMIFS('物料分类表 R22'!#REF!,'物料分类表 R22'!$B$2:$B$1090,A315)</f>
        <v>#REF!</v>
      </c>
      <c r="D315" s="2" t="e">
        <f>IF(COUNT($A315)=0,"",IF(VLOOKUP($A315,'物料分类表 R22'!$B$2:$H$1090,D$3*2,FALSE)=0,D314,VLOOKUP($A315,'物料分类表 R22'!$B$2:$H$1090,D$3*2,FALSE)))</f>
        <v>#REF!</v>
      </c>
      <c r="E315" s="1" t="e">
        <f t="shared" si="16"/>
        <v>#REF!</v>
      </c>
      <c r="F315" s="1" t="e">
        <f t="shared" si="17"/>
        <v>#REF!</v>
      </c>
      <c r="G315" s="1" t="e">
        <f t="shared" si="18"/>
        <v>#REF!</v>
      </c>
    </row>
    <row r="316" customHeight="1" spans="1:7">
      <c r="A316" s="1">
        <f>IF(MAX($A$2:A315)=$B$1,"",MAX($A$2:A315)+1)</f>
        <v>313</v>
      </c>
      <c r="B316" s="2" t="e">
        <f>IF(COUNT($A316)=0,"",VLOOKUP($A316,'物料分类表 R22'!$B$2:$H$1090,C316*2,FALSE))</f>
        <v>#REF!</v>
      </c>
      <c r="C316" s="2" t="e">
        <f>SUMIFS('物料分类表 R22'!#REF!,'物料分类表 R22'!$B$2:$B$1090,A316)</f>
        <v>#REF!</v>
      </c>
      <c r="D316" s="2" t="e">
        <f>IF(COUNT($A316)=0,"",IF(VLOOKUP($A316,'物料分类表 R22'!$B$2:$H$1090,D$3*2,FALSE)=0,D315,VLOOKUP($A316,'物料分类表 R22'!$B$2:$H$1090,D$3*2,FALSE)))</f>
        <v>#REF!</v>
      </c>
      <c r="E316" s="1" t="e">
        <f t="shared" si="16"/>
        <v>#REF!</v>
      </c>
      <c r="F316" s="1" t="e">
        <f t="shared" si="17"/>
        <v>#REF!</v>
      </c>
      <c r="G316" s="1" t="e">
        <f t="shared" si="18"/>
        <v>#REF!</v>
      </c>
    </row>
    <row r="317" customHeight="1" spans="1:7">
      <c r="A317" s="1">
        <f>IF(MAX($A$2:A316)=$B$1,"",MAX($A$2:A316)+1)</f>
        <v>314</v>
      </c>
      <c r="B317" s="2" t="e">
        <f>IF(COUNT($A317)=0,"",VLOOKUP($A317,'物料分类表 R22'!$B$2:$H$1090,C317*2,FALSE))</f>
        <v>#REF!</v>
      </c>
      <c r="C317" s="2" t="e">
        <f>SUMIFS('物料分类表 R22'!#REF!,'物料分类表 R22'!$B$2:$B$1090,A317)</f>
        <v>#REF!</v>
      </c>
      <c r="D317" s="2" t="e">
        <f>IF(COUNT($A317)=0,"",IF(VLOOKUP($A317,'物料分类表 R22'!$B$2:$H$1090,D$3*2,FALSE)=0,D316,VLOOKUP($A317,'物料分类表 R22'!$B$2:$H$1090,D$3*2,FALSE)))</f>
        <v>#REF!</v>
      </c>
      <c r="E317" s="1" t="e">
        <f t="shared" si="16"/>
        <v>#REF!</v>
      </c>
      <c r="F317" s="1" t="e">
        <f t="shared" si="17"/>
        <v>#REF!</v>
      </c>
      <c r="G317" s="1" t="e">
        <f t="shared" si="18"/>
        <v>#REF!</v>
      </c>
    </row>
    <row r="318" customHeight="1" spans="1:7">
      <c r="A318" s="1">
        <f>IF(MAX($A$2:A317)=$B$1,"",MAX($A$2:A317)+1)</f>
        <v>315</v>
      </c>
      <c r="B318" s="2" t="e">
        <f>IF(COUNT($A318)=0,"",VLOOKUP($A318,'物料分类表 R22'!$B$2:$H$1090,C318*2,FALSE))</f>
        <v>#REF!</v>
      </c>
      <c r="C318" s="2" t="e">
        <f>SUMIFS('物料分类表 R22'!#REF!,'物料分类表 R22'!$B$2:$B$1090,A318)</f>
        <v>#REF!</v>
      </c>
      <c r="D318" s="2" t="e">
        <f>IF(COUNT($A318)=0,"",IF(VLOOKUP($A318,'物料分类表 R22'!$B$2:$H$1090,D$3*2,FALSE)=0,D317,VLOOKUP($A318,'物料分类表 R22'!$B$2:$H$1090,D$3*2,FALSE)))</f>
        <v>#REF!</v>
      </c>
      <c r="E318" s="1" t="e">
        <f t="shared" si="16"/>
        <v>#REF!</v>
      </c>
      <c r="F318" s="1" t="e">
        <f t="shared" si="17"/>
        <v>#REF!</v>
      </c>
      <c r="G318" s="1" t="e">
        <f t="shared" si="18"/>
        <v>#REF!</v>
      </c>
    </row>
    <row r="319" customHeight="1" spans="1:7">
      <c r="A319" s="1">
        <f>IF(MAX($A$2:A318)=$B$1,"",MAX($A$2:A318)+1)</f>
        <v>316</v>
      </c>
      <c r="B319" s="2" t="e">
        <f>IF(COUNT($A319)=0,"",VLOOKUP($A319,'物料分类表 R22'!$B$2:$H$1090,C319*2,FALSE))</f>
        <v>#REF!</v>
      </c>
      <c r="C319" s="2" t="e">
        <f>SUMIFS('物料分类表 R22'!#REF!,'物料分类表 R22'!$B$2:$B$1090,A319)</f>
        <v>#REF!</v>
      </c>
      <c r="D319" s="2" t="e">
        <f>IF(COUNT($A319)=0,"",IF(VLOOKUP($A319,'物料分类表 R22'!$B$2:$H$1090,D$3*2,FALSE)=0,D318,VLOOKUP($A319,'物料分类表 R22'!$B$2:$H$1090,D$3*2,FALSE)))</f>
        <v>#REF!</v>
      </c>
      <c r="E319" s="1" t="e">
        <f t="shared" si="16"/>
        <v>#REF!</v>
      </c>
      <c r="F319" s="1" t="e">
        <f t="shared" si="17"/>
        <v>#REF!</v>
      </c>
      <c r="G319" s="1" t="e">
        <f t="shared" si="18"/>
        <v>#REF!</v>
      </c>
    </row>
    <row r="320" customHeight="1" spans="1:7">
      <c r="A320" s="1">
        <f>IF(MAX($A$2:A319)=$B$1,"",MAX($A$2:A319)+1)</f>
        <v>317</v>
      </c>
      <c r="B320" s="2" t="e">
        <f>IF(COUNT($A320)=0,"",VLOOKUP($A320,'物料分类表 R22'!$B$2:$H$1090,C320*2,FALSE))</f>
        <v>#REF!</v>
      </c>
      <c r="C320" s="2" t="e">
        <f>SUMIFS('物料分类表 R22'!#REF!,'物料分类表 R22'!$B$2:$B$1090,A320)</f>
        <v>#REF!</v>
      </c>
      <c r="D320" s="2" t="e">
        <f>IF(COUNT($A320)=0,"",IF(VLOOKUP($A320,'物料分类表 R22'!$B$2:$H$1090,D$3*2,FALSE)=0,D319,VLOOKUP($A320,'物料分类表 R22'!$B$2:$H$1090,D$3*2,FALSE)))</f>
        <v>#REF!</v>
      </c>
      <c r="E320" s="1" t="e">
        <f t="shared" si="16"/>
        <v>#REF!</v>
      </c>
      <c r="F320" s="1" t="e">
        <f t="shared" si="17"/>
        <v>#REF!</v>
      </c>
      <c r="G320" s="1" t="e">
        <f t="shared" si="18"/>
        <v>#REF!</v>
      </c>
    </row>
    <row r="321" customHeight="1" spans="1:7">
      <c r="A321" s="1">
        <f>IF(MAX($A$2:A320)=$B$1,"",MAX($A$2:A320)+1)</f>
        <v>318</v>
      </c>
      <c r="B321" s="2" t="e">
        <f>IF(COUNT($A321)=0,"",VLOOKUP($A321,'物料分类表 R22'!$B$2:$H$1090,C321*2,FALSE))</f>
        <v>#REF!</v>
      </c>
      <c r="C321" s="2" t="e">
        <f>SUMIFS('物料分类表 R22'!#REF!,'物料分类表 R22'!$B$2:$B$1090,A321)</f>
        <v>#REF!</v>
      </c>
      <c r="D321" s="2" t="e">
        <f>IF(COUNT($A321)=0,"",IF(VLOOKUP($A321,'物料分类表 R22'!$B$2:$H$1090,D$3*2,FALSE)=0,D320,VLOOKUP($A321,'物料分类表 R22'!$B$2:$H$1090,D$3*2,FALSE)))</f>
        <v>#REF!</v>
      </c>
      <c r="E321" s="1" t="e">
        <f t="shared" si="16"/>
        <v>#REF!</v>
      </c>
      <c r="F321" s="1" t="e">
        <f t="shared" si="17"/>
        <v>#REF!</v>
      </c>
      <c r="G321" s="1" t="e">
        <f t="shared" si="18"/>
        <v>#REF!</v>
      </c>
    </row>
    <row r="322" customHeight="1" spans="1:7">
      <c r="A322" s="1">
        <f>IF(MAX($A$2:A321)=$B$1,"",MAX($A$2:A321)+1)</f>
        <v>319</v>
      </c>
      <c r="B322" s="2" t="e">
        <f>IF(COUNT($A322)=0,"",VLOOKUP($A322,'物料分类表 R22'!$B$2:$H$1090,C322*2,FALSE))</f>
        <v>#REF!</v>
      </c>
      <c r="C322" s="2" t="e">
        <f>SUMIFS('物料分类表 R22'!#REF!,'物料分类表 R22'!$B$2:$B$1090,A322)</f>
        <v>#REF!</v>
      </c>
      <c r="D322" s="2" t="e">
        <f>IF(COUNT($A322)=0,"",IF(VLOOKUP($A322,'物料分类表 R22'!$B$2:$H$1090,D$3*2,FALSE)=0,D321,VLOOKUP($A322,'物料分类表 R22'!$B$2:$H$1090,D$3*2,FALSE)))</f>
        <v>#REF!</v>
      </c>
      <c r="E322" s="1" t="e">
        <f t="shared" si="16"/>
        <v>#REF!</v>
      </c>
      <c r="F322" s="1" t="e">
        <f t="shared" si="17"/>
        <v>#REF!</v>
      </c>
      <c r="G322" s="1" t="e">
        <f t="shared" si="18"/>
        <v>#REF!</v>
      </c>
    </row>
    <row r="323" customHeight="1" spans="1:7">
      <c r="A323" s="1" t="str">
        <f>IF(MAX($A$2:A322)=$B$1,"",MAX($A$2:A322)+1)</f>
        <v/>
      </c>
      <c r="B323" s="2" t="str">
        <f>IF(COUNT($A323)=0,"",VLOOKUP($A323,'物料分类表 R22'!$B$2:$H$1090,C323*2,FALSE))</f>
        <v/>
      </c>
      <c r="C323" s="2" t="e">
        <f>SUMIFS('物料分类表 R22'!#REF!,'物料分类表 R22'!$B$2:$B$1090,A323)</f>
        <v>#REF!</v>
      </c>
      <c r="D323" s="2" t="str">
        <f>IF(COUNT($A323)=0,"",IF(VLOOKUP($A323,'物料分类表 R22'!$B$2:$H$1090,D$3*2,FALSE)=0,D322,VLOOKUP($A323,'物料分类表 R22'!$B$2:$H$1090,D$3*2,FALSE)))</f>
        <v/>
      </c>
      <c r="E323" s="1" t="str">
        <f t="shared" si="16"/>
        <v/>
      </c>
      <c r="F323" s="1" t="str">
        <f t="shared" si="17"/>
        <v/>
      </c>
      <c r="G323" s="1" t="str">
        <f t="shared" si="18"/>
        <v/>
      </c>
    </row>
    <row r="324" customHeight="1" spans="1:7">
      <c r="A324" s="1" t="str">
        <f>IF(MAX($A$2:A323)=$B$1,"",MAX($A$2:A323)+1)</f>
        <v/>
      </c>
      <c r="B324" s="2" t="str">
        <f>IF(COUNT($A324)=0,"",VLOOKUP($A324,'物料分类表 R22'!$B$2:$H$1090,C324*2,FALSE))</f>
        <v/>
      </c>
      <c r="C324" s="2" t="e">
        <f>SUMIFS('物料分类表 R22'!#REF!,'物料分类表 R22'!$B$2:$B$1090,A324)</f>
        <v>#REF!</v>
      </c>
      <c r="D324" s="2" t="str">
        <f>IF(COUNT($A324)=0,"",IF(VLOOKUP($A324,'物料分类表 R22'!$B$2:$H$1090,D$3*2,FALSE)=0,D323,VLOOKUP($A324,'物料分类表 R22'!$B$2:$H$1090,D$3*2,FALSE)))</f>
        <v/>
      </c>
      <c r="E324" s="1" t="str">
        <f t="shared" si="16"/>
        <v/>
      </c>
      <c r="F324" s="1" t="str">
        <f t="shared" si="17"/>
        <v/>
      </c>
      <c r="G324" s="1" t="str">
        <f t="shared" si="18"/>
        <v/>
      </c>
    </row>
    <row r="325" customHeight="1" spans="1:7">
      <c r="A325" s="1" t="str">
        <f>IF(MAX($A$2:A324)=$B$1,"",MAX($A$2:A324)+1)</f>
        <v/>
      </c>
      <c r="B325" s="2" t="str">
        <f>IF(COUNT($A325)=0,"",VLOOKUP($A325,'物料分类表 R22'!$B$2:$H$1090,C325*2,FALSE))</f>
        <v/>
      </c>
      <c r="C325" s="2" t="e">
        <f>SUMIFS('物料分类表 R22'!#REF!,'物料分类表 R22'!$B$2:$B$1090,A325)</f>
        <v>#REF!</v>
      </c>
      <c r="D325" s="2" t="str">
        <f>IF(COUNT($A325)=0,"",IF(VLOOKUP($A325,'物料分类表 R22'!$B$2:$H$1090,D$3*2,FALSE)=0,D324,VLOOKUP($A325,'物料分类表 R22'!$B$2:$H$1090,D$3*2,FALSE)))</f>
        <v/>
      </c>
      <c r="E325" s="1" t="str">
        <f t="shared" si="16"/>
        <v/>
      </c>
      <c r="F325" s="1" t="str">
        <f t="shared" si="17"/>
        <v/>
      </c>
      <c r="G325" s="1" t="str">
        <f t="shared" si="18"/>
        <v/>
      </c>
    </row>
    <row r="326" customHeight="1" spans="1:7">
      <c r="A326" s="1" t="str">
        <f>IF(MAX($A$2:A325)=$B$1,"",MAX($A$2:A325)+1)</f>
        <v/>
      </c>
      <c r="B326" s="2" t="str">
        <f>IF(COUNT($A326)=0,"",VLOOKUP($A326,'物料分类表 R22'!$B$2:$H$1090,C326*2,FALSE))</f>
        <v/>
      </c>
      <c r="C326" s="2" t="e">
        <f>SUMIFS('物料分类表 R22'!#REF!,'物料分类表 R22'!$B$2:$B$1090,A326)</f>
        <v>#REF!</v>
      </c>
      <c r="D326" s="2" t="str">
        <f>IF(COUNT($A326)=0,"",IF(VLOOKUP($A326,'物料分类表 R22'!$B$2:$H$1090,D$3*2,FALSE)=0,D325,VLOOKUP($A326,'物料分类表 R22'!$B$2:$H$1090,D$3*2,FALSE)))</f>
        <v/>
      </c>
      <c r="E326" s="1" t="str">
        <f t="shared" si="16"/>
        <v/>
      </c>
      <c r="F326" s="1" t="str">
        <f t="shared" si="17"/>
        <v/>
      </c>
      <c r="G326" s="1" t="str">
        <f t="shared" si="18"/>
        <v/>
      </c>
    </row>
    <row r="327" customHeight="1" spans="1:7">
      <c r="A327" s="1" t="str">
        <f>IF(MAX($A$2:A326)=$B$1,"",MAX($A$2:A326)+1)</f>
        <v/>
      </c>
      <c r="B327" s="2" t="str">
        <f>IF(COUNT($A327)=0,"",VLOOKUP($A327,'物料分类表 R22'!$B$2:$H$1090,C327*2,FALSE))</f>
        <v/>
      </c>
      <c r="C327" s="2" t="e">
        <f>SUMIFS('物料分类表 R22'!#REF!,'物料分类表 R22'!$B$2:$B$1090,A327)</f>
        <v>#REF!</v>
      </c>
      <c r="D327" s="2" t="str">
        <f>IF(COUNT($A327)=0,"",IF(VLOOKUP($A327,'物料分类表 R22'!$B$2:$H$1090,D$3*2,FALSE)=0,D326,VLOOKUP($A327,'物料分类表 R22'!$B$2:$H$1090,D$3*2,FALSE)))</f>
        <v/>
      </c>
      <c r="E327" s="1" t="str">
        <f t="shared" si="16"/>
        <v/>
      </c>
      <c r="F327" s="1" t="str">
        <f t="shared" si="17"/>
        <v/>
      </c>
      <c r="G327" s="1" t="str">
        <f t="shared" si="18"/>
        <v/>
      </c>
    </row>
    <row r="328" customHeight="1" spans="1:7">
      <c r="A328" s="1" t="str">
        <f>IF(MAX($A$2:A327)=$B$1,"",MAX($A$2:A327)+1)</f>
        <v/>
      </c>
      <c r="B328" s="2" t="str">
        <f>IF(COUNT($A328)=0,"",VLOOKUP($A328,'物料分类表 R22'!$B$2:$H$1090,C328*2,FALSE))</f>
        <v/>
      </c>
      <c r="C328" s="2" t="e">
        <f>SUMIFS('物料分类表 R22'!#REF!,'物料分类表 R22'!$B$2:$B$1090,A328)</f>
        <v>#REF!</v>
      </c>
      <c r="D328" s="2" t="str">
        <f>IF(COUNT($A328)=0,"",IF(VLOOKUP($A328,'物料分类表 R22'!$B$2:$H$1090,D$3*2,FALSE)=0,D327,VLOOKUP($A328,'物料分类表 R22'!$B$2:$H$1090,D$3*2,FALSE)))</f>
        <v/>
      </c>
      <c r="E328" s="1" t="str">
        <f t="shared" si="16"/>
        <v/>
      </c>
      <c r="F328" s="1" t="str">
        <f t="shared" si="17"/>
        <v/>
      </c>
      <c r="G328" s="1" t="str">
        <f t="shared" si="18"/>
        <v/>
      </c>
    </row>
    <row r="329" customHeight="1" spans="1:7">
      <c r="A329" s="1" t="str">
        <f>IF(MAX($A$2:A328)=$B$1,"",MAX($A$2:A328)+1)</f>
        <v/>
      </c>
      <c r="B329" s="2" t="str">
        <f>IF(COUNT($A329)=0,"",VLOOKUP($A329,'物料分类表 R22'!$B$2:$H$1090,C329*2,FALSE))</f>
        <v/>
      </c>
      <c r="C329" s="2" t="e">
        <f>SUMIFS('物料分类表 R22'!#REF!,'物料分类表 R22'!$B$2:$B$1090,A329)</f>
        <v>#REF!</v>
      </c>
      <c r="D329" s="2" t="str">
        <f>IF(COUNT($A329)=0,"",IF(VLOOKUP($A329,'物料分类表 R22'!$B$2:$H$1090,D$3*2,FALSE)=0,D328,VLOOKUP($A329,'物料分类表 R22'!$B$2:$H$1090,D$3*2,FALSE)))</f>
        <v/>
      </c>
      <c r="E329" s="1" t="str">
        <f t="shared" si="16"/>
        <v/>
      </c>
      <c r="F329" s="1" t="str">
        <f t="shared" si="17"/>
        <v/>
      </c>
      <c r="G329" s="1" t="str">
        <f t="shared" si="18"/>
        <v/>
      </c>
    </row>
    <row r="330" customHeight="1" spans="1:7">
      <c r="A330" s="1" t="str">
        <f>IF(MAX($A$2:A329)=$B$1,"",MAX($A$2:A329)+1)</f>
        <v/>
      </c>
      <c r="B330" s="2" t="str">
        <f>IF(COUNT($A330)=0,"",VLOOKUP($A330,'物料分类表 R22'!$B$2:$H$1090,C330*2,FALSE))</f>
        <v/>
      </c>
      <c r="C330" s="2" t="e">
        <f>SUMIFS('物料分类表 R22'!#REF!,'物料分类表 R22'!$B$2:$B$1090,A330)</f>
        <v>#REF!</v>
      </c>
      <c r="D330" s="2" t="str">
        <f>IF(COUNT($A330)=0,"",IF(VLOOKUP($A330,'物料分类表 R22'!$B$2:$H$1090,D$3*2,FALSE)=0,D329,VLOOKUP($A330,'物料分类表 R22'!$B$2:$H$1090,D$3*2,FALSE)))</f>
        <v/>
      </c>
      <c r="E330" s="1" t="str">
        <f t="shared" si="16"/>
        <v/>
      </c>
      <c r="F330" s="1" t="str">
        <f t="shared" si="17"/>
        <v/>
      </c>
      <c r="G330" s="1" t="str">
        <f t="shared" si="18"/>
        <v/>
      </c>
    </row>
    <row r="331" customHeight="1" spans="1:7">
      <c r="A331" s="1" t="str">
        <f>IF(MAX($A$2:A330)=$B$1,"",MAX($A$2:A330)+1)</f>
        <v/>
      </c>
      <c r="B331" s="2" t="str">
        <f>IF(COUNT($A331)=0,"",VLOOKUP($A331,'物料分类表 R22'!$B$2:$H$1090,C331*2,FALSE))</f>
        <v/>
      </c>
      <c r="C331" s="2" t="e">
        <f>SUMIFS('物料分类表 R22'!#REF!,'物料分类表 R22'!$B$2:$B$1090,A331)</f>
        <v>#REF!</v>
      </c>
      <c r="D331" s="2" t="str">
        <f>IF(COUNT($A331)=0,"",IF(VLOOKUP($A331,'物料分类表 R22'!$B$2:$H$1090,D$3*2,FALSE)=0,D330,VLOOKUP($A331,'物料分类表 R22'!$B$2:$H$1090,D$3*2,FALSE)))</f>
        <v/>
      </c>
      <c r="E331" s="1" t="str">
        <f t="shared" si="16"/>
        <v/>
      </c>
      <c r="F331" s="1" t="str">
        <f t="shared" si="17"/>
        <v/>
      </c>
      <c r="G331" s="1" t="str">
        <f t="shared" si="18"/>
        <v/>
      </c>
    </row>
    <row r="332" customHeight="1" spans="1:7">
      <c r="A332" s="1" t="str">
        <f>IF(MAX($A$2:A331)=$B$1,"",MAX($A$2:A331)+1)</f>
        <v/>
      </c>
      <c r="B332" s="2" t="str">
        <f>IF(COUNT($A332)=0,"",VLOOKUP($A332,'物料分类表 R22'!$B$2:$H$1090,C332*2,FALSE))</f>
        <v/>
      </c>
      <c r="C332" s="2" t="e">
        <f>SUMIFS('物料分类表 R22'!#REF!,'物料分类表 R22'!$B$2:$B$1090,A332)</f>
        <v>#REF!</v>
      </c>
      <c r="D332" s="2" t="str">
        <f>IF(COUNT($A332)=0,"",IF(VLOOKUP($A332,'物料分类表 R22'!$B$2:$H$1090,D$3*2,FALSE)=0,D331,VLOOKUP($A332,'物料分类表 R22'!$B$2:$H$1090,D$3*2,FALSE)))</f>
        <v/>
      </c>
      <c r="E332" s="1" t="str">
        <f t="shared" si="16"/>
        <v/>
      </c>
      <c r="F332" s="1" t="str">
        <f t="shared" si="17"/>
        <v/>
      </c>
      <c r="G332" s="1" t="str">
        <f t="shared" si="18"/>
        <v/>
      </c>
    </row>
    <row r="333" customHeight="1" spans="1:7">
      <c r="A333" s="1" t="str">
        <f>IF(MAX($A$2:A332)=$B$1,"",MAX($A$2:A332)+1)</f>
        <v/>
      </c>
      <c r="B333" s="2" t="str">
        <f>IF(COUNT($A333)=0,"",VLOOKUP($A333,'物料分类表 R22'!$B$2:$H$1090,C333*2,FALSE))</f>
        <v/>
      </c>
      <c r="C333" s="2" t="e">
        <f>SUMIFS('物料分类表 R22'!#REF!,'物料分类表 R22'!$B$2:$B$1090,A333)</f>
        <v>#REF!</v>
      </c>
      <c r="D333" s="2" t="str">
        <f>IF(COUNT($A333)=0,"",IF(VLOOKUP($A333,'物料分类表 R22'!$B$2:$H$1090,D$3*2,FALSE)=0,D332,VLOOKUP($A333,'物料分类表 R22'!$B$2:$H$1090,D$3*2,FALSE)))</f>
        <v/>
      </c>
      <c r="E333" s="1" t="str">
        <f t="shared" si="16"/>
        <v/>
      </c>
      <c r="F333" s="1" t="str">
        <f t="shared" si="17"/>
        <v/>
      </c>
      <c r="G333" s="1" t="str">
        <f t="shared" si="18"/>
        <v/>
      </c>
    </row>
    <row r="334" customHeight="1" spans="1:7">
      <c r="A334" s="1" t="str">
        <f>IF(MAX($A$2:A333)=$B$1,"",MAX($A$2:A333)+1)</f>
        <v/>
      </c>
      <c r="B334" s="2" t="str">
        <f>IF(COUNT($A334)=0,"",VLOOKUP($A334,'物料分类表 R22'!$B$2:$H$1090,C334*2,FALSE))</f>
        <v/>
      </c>
      <c r="C334" s="2" t="e">
        <f>SUMIFS('物料分类表 R22'!#REF!,'物料分类表 R22'!$B$2:$B$1090,A334)</f>
        <v>#REF!</v>
      </c>
      <c r="D334" s="2" t="str">
        <f>IF(COUNT($A334)=0,"",IF(VLOOKUP($A334,'物料分类表 R22'!$B$2:$H$1090,D$3*2,FALSE)=0,D333,VLOOKUP($A334,'物料分类表 R22'!$B$2:$H$1090,D$3*2,FALSE)))</f>
        <v/>
      </c>
      <c r="E334" s="1" t="str">
        <f t="shared" si="16"/>
        <v/>
      </c>
      <c r="F334" s="1" t="str">
        <f t="shared" si="17"/>
        <v/>
      </c>
      <c r="G334" s="1" t="str">
        <f t="shared" si="18"/>
        <v/>
      </c>
    </row>
    <row r="335" customHeight="1" spans="1:7">
      <c r="A335" s="1" t="str">
        <f>IF(MAX($A$2:A334)=$B$1,"",MAX($A$2:A334)+1)</f>
        <v/>
      </c>
      <c r="B335" s="2" t="str">
        <f>IF(COUNT($A335)=0,"",VLOOKUP($A335,'物料分类表 R22'!$B$2:$H$1090,C335*2,FALSE))</f>
        <v/>
      </c>
      <c r="C335" s="2" t="e">
        <f>SUMIFS('物料分类表 R22'!#REF!,'物料分类表 R22'!$B$2:$B$1090,A335)</f>
        <v>#REF!</v>
      </c>
      <c r="D335" s="2" t="str">
        <f>IF(COUNT($A335)=0,"",IF(VLOOKUP($A335,'物料分类表 R22'!$B$2:$H$1090,D$3*2,FALSE)=0,D334,VLOOKUP($A335,'物料分类表 R22'!$B$2:$H$1090,D$3*2,FALSE)))</f>
        <v/>
      </c>
      <c r="E335" s="1" t="str">
        <f t="shared" si="16"/>
        <v/>
      </c>
      <c r="F335" s="1" t="str">
        <f t="shared" si="17"/>
        <v/>
      </c>
      <c r="G335" s="1" t="str">
        <f t="shared" si="18"/>
        <v/>
      </c>
    </row>
    <row r="336" customHeight="1" spans="1:7">
      <c r="A336" s="1" t="str">
        <f>IF(MAX($A$2:A335)=$B$1,"",MAX($A$2:A335)+1)</f>
        <v/>
      </c>
      <c r="B336" s="2" t="str">
        <f>IF(COUNT($A336)=0,"",VLOOKUP($A336,'物料分类表 R22'!$B$2:$H$1090,C336*2,FALSE))</f>
        <v/>
      </c>
      <c r="C336" s="2" t="e">
        <f>SUMIFS('物料分类表 R22'!#REF!,'物料分类表 R22'!$B$2:$B$1090,A336)</f>
        <v>#REF!</v>
      </c>
      <c r="D336" s="2" t="str">
        <f>IF(COUNT($A336)=0,"",IF(VLOOKUP($A336,'物料分类表 R22'!$B$2:$H$1090,D$3*2,FALSE)=0,D335,VLOOKUP($A336,'物料分类表 R22'!$B$2:$H$1090,D$3*2,FALSE)))</f>
        <v/>
      </c>
      <c r="E336" s="1" t="str">
        <f t="shared" si="16"/>
        <v/>
      </c>
      <c r="F336" s="1" t="str">
        <f t="shared" si="17"/>
        <v/>
      </c>
      <c r="G336" s="1" t="str">
        <f t="shared" si="18"/>
        <v/>
      </c>
    </row>
    <row r="337" customHeight="1" spans="1:7">
      <c r="A337" s="1" t="str">
        <f>IF(MAX($A$2:A336)=$B$1,"",MAX($A$2:A336)+1)</f>
        <v/>
      </c>
      <c r="B337" s="2" t="str">
        <f>IF(COUNT($A337)=0,"",VLOOKUP($A337,'物料分类表 R22'!$B$2:$H$1090,C337*2,FALSE))</f>
        <v/>
      </c>
      <c r="C337" s="2" t="e">
        <f>SUMIFS('物料分类表 R22'!#REF!,'物料分类表 R22'!$B$2:$B$1090,A337)</f>
        <v>#REF!</v>
      </c>
      <c r="D337" s="2" t="str">
        <f>IF(COUNT($A337)=0,"",IF(VLOOKUP($A337,'物料分类表 R22'!$B$2:$H$1090,D$3*2,FALSE)=0,D336,VLOOKUP($A337,'物料分类表 R22'!$B$2:$H$1090,D$3*2,FALSE)))</f>
        <v/>
      </c>
      <c r="E337" s="1" t="str">
        <f t="shared" si="16"/>
        <v/>
      </c>
      <c r="F337" s="1" t="str">
        <f t="shared" si="17"/>
        <v/>
      </c>
      <c r="G337" s="1" t="str">
        <f t="shared" si="18"/>
        <v/>
      </c>
    </row>
    <row r="338" customHeight="1" spans="1:7">
      <c r="A338" s="1" t="str">
        <f>IF(MAX($A$2:A337)=$B$1,"",MAX($A$2:A337)+1)</f>
        <v/>
      </c>
      <c r="B338" s="2" t="str">
        <f>IF(COUNT($A338)=0,"",VLOOKUP($A338,'物料分类表 R22'!$B$2:$H$1090,C338*2,FALSE))</f>
        <v/>
      </c>
      <c r="C338" s="2" t="e">
        <f>SUMIFS('物料分类表 R22'!#REF!,'物料分类表 R22'!$B$2:$B$1090,A338)</f>
        <v>#REF!</v>
      </c>
      <c r="D338" s="2" t="str">
        <f>IF(COUNT($A338)=0,"",IF(VLOOKUP($A338,'物料分类表 R22'!$B$2:$H$1090,D$3*2,FALSE)=0,D337,VLOOKUP($A338,'物料分类表 R22'!$B$2:$H$1090,D$3*2,FALSE)))</f>
        <v/>
      </c>
      <c r="E338" s="1" t="str">
        <f t="shared" si="16"/>
        <v/>
      </c>
      <c r="F338" s="1" t="str">
        <f t="shared" si="17"/>
        <v/>
      </c>
      <c r="G338" s="1" t="str">
        <f t="shared" si="18"/>
        <v/>
      </c>
    </row>
    <row r="339" customHeight="1" spans="1:7">
      <c r="A339" s="1" t="str">
        <f>IF(MAX($A$2:A338)=$B$1,"",MAX($A$2:A338)+1)</f>
        <v/>
      </c>
      <c r="B339" s="2" t="str">
        <f>IF(COUNT($A339)=0,"",VLOOKUP($A339,'物料分类表 R22'!$B$2:$H$1090,C339*2,FALSE))</f>
        <v/>
      </c>
      <c r="C339" s="2" t="e">
        <f>SUMIFS('物料分类表 R22'!#REF!,'物料分类表 R22'!$B$2:$B$1090,A339)</f>
        <v>#REF!</v>
      </c>
      <c r="D339" s="2" t="str">
        <f>IF(COUNT($A339)=0,"",IF(VLOOKUP($A339,'物料分类表 R22'!$B$2:$H$1090,D$3*2,FALSE)=0,D338,VLOOKUP($A339,'物料分类表 R22'!$B$2:$H$1090,D$3*2,FALSE)))</f>
        <v/>
      </c>
      <c r="E339" s="1" t="str">
        <f t="shared" si="16"/>
        <v/>
      </c>
      <c r="F339" s="1" t="str">
        <f t="shared" si="17"/>
        <v/>
      </c>
      <c r="G339" s="1" t="str">
        <f t="shared" si="18"/>
        <v/>
      </c>
    </row>
    <row r="340" customHeight="1" spans="1:7">
      <c r="A340" s="1" t="str">
        <f>IF(MAX($A$2:A339)=$B$1,"",MAX($A$2:A339)+1)</f>
        <v/>
      </c>
      <c r="B340" s="2" t="str">
        <f>IF(COUNT($A340)=0,"",VLOOKUP($A340,'物料分类表 R22'!$B$2:$H$1090,C340*2,FALSE))</f>
        <v/>
      </c>
      <c r="C340" s="2" t="e">
        <f>SUMIFS('物料分类表 R22'!#REF!,'物料分类表 R22'!$B$2:$B$1090,A340)</f>
        <v>#REF!</v>
      </c>
      <c r="D340" s="2" t="str">
        <f>IF(COUNT($A340)=0,"",IF(VLOOKUP($A340,'物料分类表 R22'!$B$2:$H$1090,D$3*2,FALSE)=0,D339,VLOOKUP($A340,'物料分类表 R22'!$B$2:$H$1090,D$3*2,FALSE)))</f>
        <v/>
      </c>
      <c r="E340" s="1" t="str">
        <f t="shared" si="16"/>
        <v/>
      </c>
      <c r="F340" s="1" t="str">
        <f t="shared" si="17"/>
        <v/>
      </c>
      <c r="G340" s="1" t="str">
        <f t="shared" si="18"/>
        <v/>
      </c>
    </row>
    <row r="341" customHeight="1" spans="1:7">
      <c r="A341" s="1" t="str">
        <f>IF(MAX($A$2:A340)=$B$1,"",MAX($A$2:A340)+1)</f>
        <v/>
      </c>
      <c r="B341" s="2" t="str">
        <f>IF(COUNT($A341)=0,"",VLOOKUP($A341,'物料分类表 R22'!$B$2:$H$1090,C341*2,FALSE))</f>
        <v/>
      </c>
      <c r="C341" s="2" t="e">
        <f>SUMIFS('物料分类表 R22'!#REF!,'物料分类表 R22'!$B$2:$B$1090,A341)</f>
        <v>#REF!</v>
      </c>
      <c r="D341" s="2" t="str">
        <f>IF(COUNT($A341)=0,"",IF(VLOOKUP($A341,'物料分类表 R22'!$B$2:$H$1090,D$3*2,FALSE)=0,D340,VLOOKUP($A341,'物料分类表 R22'!$B$2:$H$1090,D$3*2,FALSE)))</f>
        <v/>
      </c>
      <c r="E341" s="1" t="str">
        <f t="shared" si="16"/>
        <v/>
      </c>
      <c r="F341" s="1" t="str">
        <f t="shared" si="17"/>
        <v/>
      </c>
      <c r="G341" s="1" t="str">
        <f t="shared" si="18"/>
        <v/>
      </c>
    </row>
    <row r="342" customHeight="1" spans="1:7">
      <c r="A342" s="1" t="str">
        <f>IF(MAX($A$2:A341)=$B$1,"",MAX($A$2:A341)+1)</f>
        <v/>
      </c>
      <c r="B342" s="2" t="str">
        <f>IF(COUNT($A342)=0,"",VLOOKUP($A342,'物料分类表 R22'!$B$2:$H$1090,C342*2,FALSE))</f>
        <v/>
      </c>
      <c r="C342" s="2" t="e">
        <f>SUMIFS('物料分类表 R22'!#REF!,'物料分类表 R22'!$B$2:$B$1090,A342)</f>
        <v>#REF!</v>
      </c>
      <c r="D342" s="2" t="str">
        <f>IF(COUNT($A342)=0,"",IF(VLOOKUP($A342,'物料分类表 R22'!$B$2:$H$1090,D$3*2,FALSE)=0,D341,VLOOKUP($A342,'物料分类表 R22'!$B$2:$H$1090,D$3*2,FALSE)))</f>
        <v/>
      </c>
      <c r="E342" s="1" t="str">
        <f t="shared" si="16"/>
        <v/>
      </c>
      <c r="F342" s="1" t="str">
        <f t="shared" si="17"/>
        <v/>
      </c>
      <c r="G342" s="1" t="str">
        <f t="shared" si="18"/>
        <v/>
      </c>
    </row>
    <row r="343" customHeight="1" spans="1:7">
      <c r="A343" s="1" t="str">
        <f>IF(MAX($A$2:A342)=$B$1,"",MAX($A$2:A342)+1)</f>
        <v/>
      </c>
      <c r="B343" s="2" t="str">
        <f>IF(COUNT($A343)=0,"",VLOOKUP($A343,'物料分类表 R22'!$B$2:$H$1090,C343*2,FALSE))</f>
        <v/>
      </c>
      <c r="C343" s="2" t="e">
        <f>SUMIFS('物料分类表 R22'!#REF!,'物料分类表 R22'!$B$2:$B$1090,A343)</f>
        <v>#REF!</v>
      </c>
      <c r="D343" s="2" t="str">
        <f>IF(COUNT($A343)=0,"",IF(VLOOKUP($A343,'物料分类表 R22'!$B$2:$H$1090,D$3*2,FALSE)=0,D342,VLOOKUP($A343,'物料分类表 R22'!$B$2:$H$1090,D$3*2,FALSE)))</f>
        <v/>
      </c>
      <c r="E343" s="1" t="str">
        <f t="shared" si="16"/>
        <v/>
      </c>
      <c r="F343" s="1" t="str">
        <f t="shared" si="17"/>
        <v/>
      </c>
      <c r="G343" s="1" t="str">
        <f t="shared" si="18"/>
        <v/>
      </c>
    </row>
    <row r="344" customHeight="1" spans="1:7">
      <c r="A344" s="1" t="str">
        <f>IF(MAX($A$2:A343)=$B$1,"",MAX($A$2:A343)+1)</f>
        <v/>
      </c>
      <c r="B344" s="2" t="str">
        <f>IF(COUNT($A344)=0,"",VLOOKUP($A344,'物料分类表 R22'!$B$2:$H$1090,C344*2,FALSE))</f>
        <v/>
      </c>
      <c r="C344" s="2" t="e">
        <f>SUMIFS('物料分类表 R22'!#REF!,'物料分类表 R22'!$B$2:$B$1090,A344)</f>
        <v>#REF!</v>
      </c>
      <c r="D344" s="2" t="str">
        <f>IF(COUNT($A344)=0,"",IF(VLOOKUP($A344,'物料分类表 R22'!$B$2:$H$1090,D$3*2,FALSE)=0,D343,VLOOKUP($A344,'物料分类表 R22'!$B$2:$H$1090,D$3*2,FALSE)))</f>
        <v/>
      </c>
      <c r="E344" s="1" t="str">
        <f t="shared" si="16"/>
        <v/>
      </c>
      <c r="F344" s="1" t="str">
        <f t="shared" si="17"/>
        <v/>
      </c>
      <c r="G344" s="1" t="str">
        <f t="shared" si="18"/>
        <v/>
      </c>
    </row>
    <row r="345" customHeight="1" spans="1:7">
      <c r="A345" s="1" t="str">
        <f>IF(MAX($A$2:A344)=$B$1,"",MAX($A$2:A344)+1)</f>
        <v/>
      </c>
      <c r="B345" s="2" t="str">
        <f>IF(COUNT($A345)=0,"",VLOOKUP($A345,'物料分类表 R22'!$B$2:$H$1090,C345*2,FALSE))</f>
        <v/>
      </c>
      <c r="C345" s="2" t="e">
        <f>SUMIFS('物料分类表 R22'!#REF!,'物料分类表 R22'!$B$2:$B$1090,A345)</f>
        <v>#REF!</v>
      </c>
      <c r="D345" s="2" t="str">
        <f>IF(COUNT($A345)=0,"",IF(VLOOKUP($A345,'物料分类表 R22'!$B$2:$H$1090,D$3*2,FALSE)=0,D344,VLOOKUP($A345,'物料分类表 R22'!$B$2:$H$1090,D$3*2,FALSE)))</f>
        <v/>
      </c>
      <c r="E345" s="1" t="str">
        <f t="shared" si="16"/>
        <v/>
      </c>
      <c r="F345" s="1" t="str">
        <f t="shared" si="17"/>
        <v/>
      </c>
      <c r="G345" s="1" t="str">
        <f t="shared" si="18"/>
        <v/>
      </c>
    </row>
    <row r="346" customHeight="1" spans="1:7">
      <c r="A346" s="1" t="str">
        <f>IF(MAX($A$2:A345)=$B$1,"",MAX($A$2:A345)+1)</f>
        <v/>
      </c>
      <c r="B346" s="2" t="str">
        <f>IF(COUNT($A346)=0,"",VLOOKUP($A346,'物料分类表 R22'!$B$2:$H$1090,C346*2,FALSE))</f>
        <v/>
      </c>
      <c r="C346" s="2" t="e">
        <f>SUMIFS('物料分类表 R22'!#REF!,'物料分类表 R22'!$B$2:$B$1090,A346)</f>
        <v>#REF!</v>
      </c>
      <c r="D346" s="2" t="str">
        <f>IF(COUNT($A346)=0,"",IF(VLOOKUP($A346,'物料分类表 R22'!$B$2:$H$1090,D$3*2,FALSE)=0,D345,VLOOKUP($A346,'物料分类表 R22'!$B$2:$H$1090,D$3*2,FALSE)))</f>
        <v/>
      </c>
      <c r="E346" s="1" t="str">
        <f t="shared" si="16"/>
        <v/>
      </c>
      <c r="F346" s="1" t="str">
        <f t="shared" si="17"/>
        <v/>
      </c>
      <c r="G346" s="1" t="str">
        <f t="shared" si="18"/>
        <v/>
      </c>
    </row>
    <row r="347" customHeight="1" spans="1:7">
      <c r="A347" s="1" t="str">
        <f>IF(MAX($A$2:A346)=$B$1,"",MAX($A$2:A346)+1)</f>
        <v/>
      </c>
      <c r="B347" s="2" t="str">
        <f>IF(COUNT($A347)=0,"",VLOOKUP($A347,'物料分类表 R22'!$B$2:$H$1090,C347*2,FALSE))</f>
        <v/>
      </c>
      <c r="C347" s="2" t="e">
        <f>SUMIFS('物料分类表 R22'!#REF!,'物料分类表 R22'!$B$2:$B$1090,A347)</f>
        <v>#REF!</v>
      </c>
      <c r="D347" s="2" t="str">
        <f>IF(COUNT($A347)=0,"",IF(VLOOKUP($A347,'物料分类表 R22'!$B$2:$H$1090,D$3*2,FALSE)=0,D346,VLOOKUP($A347,'物料分类表 R22'!$B$2:$H$1090,D$3*2,FALSE)))</f>
        <v/>
      </c>
      <c r="E347" s="1" t="str">
        <f t="shared" si="16"/>
        <v/>
      </c>
      <c r="F347" s="1" t="str">
        <f t="shared" si="17"/>
        <v/>
      </c>
      <c r="G347" s="1" t="str">
        <f t="shared" si="18"/>
        <v/>
      </c>
    </row>
    <row r="348" customHeight="1" spans="1:7">
      <c r="A348" s="1" t="str">
        <f>IF(MAX($A$2:A347)=$B$1,"",MAX($A$2:A347)+1)</f>
        <v/>
      </c>
      <c r="B348" s="2" t="str">
        <f>IF(COUNT($A348)=0,"",VLOOKUP($A348,'物料分类表 R22'!$B$2:$H$1090,C348*2,FALSE))</f>
        <v/>
      </c>
      <c r="C348" s="2" t="e">
        <f>SUMIFS('物料分类表 R22'!#REF!,'物料分类表 R22'!$B$2:$B$1090,A348)</f>
        <v>#REF!</v>
      </c>
      <c r="D348" s="2" t="str">
        <f>IF(COUNT($A348)=0,"",IF(VLOOKUP($A348,'物料分类表 R22'!$B$2:$H$1090,D$3*2,FALSE)=0,D347,VLOOKUP($A348,'物料分类表 R22'!$B$2:$H$1090,D$3*2,FALSE)))</f>
        <v/>
      </c>
      <c r="E348" s="1" t="str">
        <f t="shared" si="16"/>
        <v/>
      </c>
      <c r="F348" s="1" t="str">
        <f t="shared" si="17"/>
        <v/>
      </c>
      <c r="G348" s="1" t="str">
        <f t="shared" si="18"/>
        <v/>
      </c>
    </row>
    <row r="349" customHeight="1" spans="1:7">
      <c r="A349" s="1" t="str">
        <f>IF(MAX($A$2:A348)=$B$1,"",MAX($A$2:A348)+1)</f>
        <v/>
      </c>
      <c r="B349" s="2" t="str">
        <f>IF(COUNT($A349)=0,"",VLOOKUP($A349,'物料分类表 R22'!$B$2:$H$1090,C349*2,FALSE))</f>
        <v/>
      </c>
      <c r="C349" s="2" t="e">
        <f>SUMIFS('物料分类表 R22'!#REF!,'物料分类表 R22'!$B$2:$B$1090,A349)</f>
        <v>#REF!</v>
      </c>
      <c r="D349" s="2" t="str">
        <f>IF(COUNT($A349)=0,"",IF(VLOOKUP($A349,'物料分类表 R22'!$B$2:$H$1090,D$3*2,FALSE)=0,D348,VLOOKUP($A349,'物料分类表 R22'!$B$2:$H$1090,D$3*2,FALSE)))</f>
        <v/>
      </c>
      <c r="E349" s="1" t="str">
        <f t="shared" si="16"/>
        <v/>
      </c>
      <c r="F349" s="1" t="str">
        <f t="shared" si="17"/>
        <v/>
      </c>
      <c r="G349" s="1" t="str">
        <f t="shared" si="18"/>
        <v/>
      </c>
    </row>
    <row r="350" customHeight="1" spans="1:7">
      <c r="A350" s="1" t="str">
        <f>IF(MAX($A$2:A349)=$B$1,"",MAX($A$2:A349)+1)</f>
        <v/>
      </c>
      <c r="B350" s="2" t="str">
        <f>IF(COUNT($A350)=0,"",VLOOKUP($A350,'物料分类表 R22'!$B$2:$H$1090,C350*2,FALSE))</f>
        <v/>
      </c>
      <c r="C350" s="2" t="e">
        <f>SUMIFS('物料分类表 R22'!#REF!,'物料分类表 R22'!$B$2:$B$1090,A350)</f>
        <v>#REF!</v>
      </c>
      <c r="D350" s="2" t="str">
        <f>IF(COUNT($A350)=0,"",IF(VLOOKUP($A350,'物料分类表 R22'!$B$2:$H$1090,D$3*2,FALSE)=0,D349,VLOOKUP($A350,'物料分类表 R22'!$B$2:$H$1090,D$3*2,FALSE)))</f>
        <v/>
      </c>
      <c r="E350" s="1" t="str">
        <f t="shared" si="16"/>
        <v/>
      </c>
      <c r="F350" s="1" t="str">
        <f t="shared" si="17"/>
        <v/>
      </c>
      <c r="G350" s="1" t="str">
        <f t="shared" si="18"/>
        <v/>
      </c>
    </row>
    <row r="351" customHeight="1" spans="1:7">
      <c r="A351" s="1" t="str">
        <f>IF(MAX($A$2:A350)=$B$1,"",MAX($A$2:A350)+1)</f>
        <v/>
      </c>
      <c r="B351" s="2" t="str">
        <f>IF(COUNT($A351)=0,"",VLOOKUP($A351,'物料分类表 R22'!$B$2:$H$1090,C351*2,FALSE))</f>
        <v/>
      </c>
      <c r="C351" s="2" t="e">
        <f>SUMIFS('物料分类表 R22'!#REF!,'物料分类表 R22'!$B$2:$B$1090,A351)</f>
        <v>#REF!</v>
      </c>
      <c r="D351" s="2" t="str">
        <f>IF(COUNT($A351)=0,"",IF(VLOOKUP($A351,'物料分类表 R22'!$B$2:$H$1090,D$3*2,FALSE)=0,D350,VLOOKUP($A351,'物料分类表 R22'!$B$2:$H$1090,D$3*2,FALSE)))</f>
        <v/>
      </c>
      <c r="E351" s="1" t="str">
        <f t="shared" si="16"/>
        <v/>
      </c>
      <c r="F351" s="1" t="str">
        <f t="shared" si="17"/>
        <v/>
      </c>
      <c r="G351" s="1" t="str">
        <f t="shared" si="18"/>
        <v/>
      </c>
    </row>
    <row r="352" customHeight="1" spans="1:7">
      <c r="A352" s="1" t="str">
        <f>IF(MAX($A$2:A351)=$B$1,"",MAX($A$2:A351)+1)</f>
        <v/>
      </c>
      <c r="B352" s="2" t="str">
        <f>IF(COUNT($A352)=0,"",VLOOKUP($A352,'物料分类表 R22'!$B$2:$H$1090,C352*2,FALSE))</f>
        <v/>
      </c>
      <c r="C352" s="2" t="e">
        <f>SUMIFS('物料分类表 R22'!#REF!,'物料分类表 R22'!$B$2:$B$1090,A352)</f>
        <v>#REF!</v>
      </c>
      <c r="D352" s="2" t="str">
        <f>IF(COUNT($A352)=0,"",IF(VLOOKUP($A352,'物料分类表 R22'!$B$2:$H$1090,D$3*2,FALSE)=0,D351,VLOOKUP($A352,'物料分类表 R22'!$B$2:$H$1090,D$3*2,FALSE)))</f>
        <v/>
      </c>
      <c r="E352" s="1" t="str">
        <f t="shared" si="16"/>
        <v/>
      </c>
      <c r="F352" s="1" t="str">
        <f t="shared" si="17"/>
        <v/>
      </c>
      <c r="G352" s="1" t="str">
        <f t="shared" si="18"/>
        <v/>
      </c>
    </row>
    <row r="353" customHeight="1" spans="1:7">
      <c r="A353" s="1" t="str">
        <f>IF(MAX($A$2:A352)=$B$1,"",MAX($A$2:A352)+1)</f>
        <v/>
      </c>
      <c r="B353" s="2" t="str">
        <f>IF(COUNT($A353)=0,"",VLOOKUP($A353,'物料分类表 R22'!$B$2:$H$1090,C353*2,FALSE))</f>
        <v/>
      </c>
      <c r="C353" s="2" t="e">
        <f>SUMIFS('物料分类表 R22'!#REF!,'物料分类表 R22'!$B$2:$B$1090,A353)</f>
        <v>#REF!</v>
      </c>
      <c r="D353" s="2" t="str">
        <f>IF(COUNT($A353)=0,"",IF(VLOOKUP($A353,'物料分类表 R22'!$B$2:$H$1090,D$3*2,FALSE)=0,D352,VLOOKUP($A353,'物料分类表 R22'!$B$2:$H$1090,D$3*2,FALSE)))</f>
        <v/>
      </c>
      <c r="E353" s="1" t="str">
        <f t="shared" si="16"/>
        <v/>
      </c>
      <c r="F353" s="1" t="str">
        <f t="shared" si="17"/>
        <v/>
      </c>
      <c r="G353" s="1" t="str">
        <f t="shared" si="18"/>
        <v/>
      </c>
    </row>
    <row r="354" customHeight="1" spans="1:7">
      <c r="A354" s="1" t="str">
        <f>IF(MAX($A$2:A353)=$B$1,"",MAX($A$2:A353)+1)</f>
        <v/>
      </c>
      <c r="B354" s="2" t="str">
        <f>IF(COUNT($A354)=0,"",VLOOKUP($A354,'物料分类表 R22'!$B$2:$H$1090,C354*2,FALSE))</f>
        <v/>
      </c>
      <c r="C354" s="2" t="e">
        <f>SUMIFS('物料分类表 R22'!#REF!,'物料分类表 R22'!$B$2:$B$1090,A354)</f>
        <v>#REF!</v>
      </c>
      <c r="D354" s="2" t="str">
        <f>IF(COUNT($A354)=0,"",IF(VLOOKUP($A354,'物料分类表 R22'!$B$2:$H$1090,D$3*2,FALSE)=0,D353,VLOOKUP($A354,'物料分类表 R22'!$B$2:$H$1090,D$3*2,FALSE)))</f>
        <v/>
      </c>
      <c r="E354" s="1" t="str">
        <f t="shared" si="16"/>
        <v/>
      </c>
      <c r="F354" s="1" t="str">
        <f t="shared" si="17"/>
        <v/>
      </c>
      <c r="G354" s="1" t="str">
        <f t="shared" si="18"/>
        <v/>
      </c>
    </row>
    <row r="355" customHeight="1" spans="1:7">
      <c r="A355" s="1" t="str">
        <f>IF(MAX($A$2:A354)=$B$1,"",MAX($A$2:A354)+1)</f>
        <v/>
      </c>
      <c r="B355" s="2" t="str">
        <f>IF(COUNT($A355)=0,"",VLOOKUP($A355,'物料分类表 R22'!$B$2:$H$1090,C355*2,FALSE))</f>
        <v/>
      </c>
      <c r="C355" s="2" t="e">
        <f>SUMIFS('物料分类表 R22'!#REF!,'物料分类表 R22'!$B$2:$B$1090,A355)</f>
        <v>#REF!</v>
      </c>
      <c r="D355" s="2" t="str">
        <f>IF(COUNT($A355)=0,"",IF(VLOOKUP($A355,'物料分类表 R22'!$B$2:$H$1090,D$3*2,FALSE)=0,D354,VLOOKUP($A355,'物料分类表 R22'!$B$2:$H$1090,D$3*2,FALSE)))</f>
        <v/>
      </c>
      <c r="E355" s="1" t="str">
        <f t="shared" si="16"/>
        <v/>
      </c>
      <c r="F355" s="1" t="str">
        <f t="shared" si="17"/>
        <v/>
      </c>
      <c r="G355" s="1" t="str">
        <f t="shared" si="18"/>
        <v/>
      </c>
    </row>
    <row r="356" customHeight="1" spans="1:7">
      <c r="A356" s="1" t="str">
        <f>IF(MAX($A$2:A355)=$B$1,"",MAX($A$2:A355)+1)</f>
        <v/>
      </c>
      <c r="B356" s="2" t="str">
        <f>IF(COUNT($A356)=0,"",VLOOKUP($A356,'物料分类表 R22'!$B$2:$H$1090,C356*2,FALSE))</f>
        <v/>
      </c>
      <c r="C356" s="2" t="e">
        <f>SUMIFS('物料分类表 R22'!#REF!,'物料分类表 R22'!$B$2:$B$1090,A356)</f>
        <v>#REF!</v>
      </c>
      <c r="D356" s="2" t="str">
        <f>IF(COUNT($A356)=0,"",IF(VLOOKUP($A356,'物料分类表 R22'!$B$2:$H$1090,D$3*2,FALSE)=0,D355,VLOOKUP($A356,'物料分类表 R22'!$B$2:$H$1090,D$3*2,FALSE)))</f>
        <v/>
      </c>
      <c r="E356" s="1" t="str">
        <f t="shared" si="16"/>
        <v/>
      </c>
      <c r="F356" s="1" t="str">
        <f t="shared" si="17"/>
        <v/>
      </c>
      <c r="G356" s="1" t="str">
        <f t="shared" si="18"/>
        <v/>
      </c>
    </row>
    <row r="357" customHeight="1" spans="1:7">
      <c r="A357" s="1" t="str">
        <f>IF(MAX($A$2:A356)=$B$1,"",MAX($A$2:A356)+1)</f>
        <v/>
      </c>
      <c r="B357" s="2" t="str">
        <f>IF(COUNT($A357)=0,"",VLOOKUP($A357,'物料分类表 R22'!$B$2:$H$1090,C357*2,FALSE))</f>
        <v/>
      </c>
      <c r="C357" s="2" t="e">
        <f>SUMIFS('物料分类表 R22'!#REF!,'物料分类表 R22'!$B$2:$B$1090,A357)</f>
        <v>#REF!</v>
      </c>
      <c r="D357" s="2" t="str">
        <f>IF(COUNT($A357)=0,"",IF(VLOOKUP($A357,'物料分类表 R22'!$B$2:$H$1090,D$3*2,FALSE)=0,D356,VLOOKUP($A357,'物料分类表 R22'!$B$2:$H$1090,D$3*2,FALSE)))</f>
        <v/>
      </c>
      <c r="E357" s="1" t="str">
        <f t="shared" si="16"/>
        <v/>
      </c>
      <c r="F357" s="1" t="str">
        <f t="shared" si="17"/>
        <v/>
      </c>
      <c r="G357" s="1" t="str">
        <f t="shared" si="18"/>
        <v/>
      </c>
    </row>
    <row r="358" customHeight="1" spans="1:7">
      <c r="A358" s="1" t="str">
        <f>IF(MAX($A$2:A357)=$B$1,"",MAX($A$2:A357)+1)</f>
        <v/>
      </c>
      <c r="B358" s="2" t="str">
        <f>IF(COUNT($A358)=0,"",VLOOKUP($A358,'物料分类表 R22'!$B$2:$H$1090,C358*2,FALSE))</f>
        <v/>
      </c>
      <c r="C358" s="2" t="e">
        <f>SUMIFS('物料分类表 R22'!#REF!,'物料分类表 R22'!$B$2:$B$1090,A358)</f>
        <v>#REF!</v>
      </c>
      <c r="D358" s="2" t="str">
        <f>IF(COUNT($A358)=0,"",IF(VLOOKUP($A358,'物料分类表 R22'!$B$2:$H$1090,D$3*2,FALSE)=0,D357,VLOOKUP($A358,'物料分类表 R22'!$B$2:$H$1090,D$3*2,FALSE)))</f>
        <v/>
      </c>
      <c r="E358" s="1" t="str">
        <f t="shared" si="16"/>
        <v/>
      </c>
      <c r="F358" s="1" t="str">
        <f t="shared" si="17"/>
        <v/>
      </c>
      <c r="G358" s="1" t="str">
        <f t="shared" si="18"/>
        <v/>
      </c>
    </row>
    <row r="359" customHeight="1" spans="1:7">
      <c r="A359" s="1" t="str">
        <f>IF(MAX($A$2:A358)=$B$1,"",MAX($A$2:A358)+1)</f>
        <v/>
      </c>
      <c r="B359" s="2" t="str">
        <f>IF(COUNT($A359)=0,"",VLOOKUP($A359,'物料分类表 R22'!$B$2:$H$1090,C359*2,FALSE))</f>
        <v/>
      </c>
      <c r="C359" s="2" t="e">
        <f>SUMIFS('物料分类表 R22'!#REF!,'物料分类表 R22'!$B$2:$B$1090,A359)</f>
        <v>#REF!</v>
      </c>
      <c r="D359" s="2" t="str">
        <f>IF(COUNT($A359)=0,"",IF(VLOOKUP($A359,'物料分类表 R22'!$B$2:$H$1090,D$3*2,FALSE)=0,D358,VLOOKUP($A359,'物料分类表 R22'!$B$2:$H$1090,D$3*2,FALSE)))</f>
        <v/>
      </c>
      <c r="E359" s="1" t="str">
        <f t="shared" si="16"/>
        <v/>
      </c>
      <c r="F359" s="1" t="str">
        <f t="shared" si="17"/>
        <v/>
      </c>
      <c r="G359" s="1" t="str">
        <f t="shared" si="18"/>
        <v/>
      </c>
    </row>
    <row r="360" customHeight="1" spans="1:7">
      <c r="A360" s="1" t="str">
        <f>IF(MAX($A$2:A359)=$B$1,"",MAX($A$2:A359)+1)</f>
        <v/>
      </c>
      <c r="B360" s="2" t="str">
        <f>IF(COUNT($A360)=0,"",VLOOKUP($A360,'物料分类表 R22'!$B$2:$H$1090,C360*2,FALSE))</f>
        <v/>
      </c>
      <c r="C360" s="2" t="e">
        <f>SUMIFS('物料分类表 R22'!#REF!,'物料分类表 R22'!$B$2:$B$1090,A360)</f>
        <v>#REF!</v>
      </c>
      <c r="D360" s="2" t="str">
        <f>IF(COUNT($A360)=0,"",IF(VLOOKUP($A360,'物料分类表 R22'!$B$2:$H$1090,D$3*2,FALSE)=0,D359,VLOOKUP($A360,'物料分类表 R22'!$B$2:$H$1090,D$3*2,FALSE)))</f>
        <v/>
      </c>
      <c r="E360" s="1" t="str">
        <f t="shared" si="16"/>
        <v/>
      </c>
      <c r="F360" s="1" t="str">
        <f t="shared" si="17"/>
        <v/>
      </c>
      <c r="G360" s="1" t="str">
        <f t="shared" si="18"/>
        <v/>
      </c>
    </row>
    <row r="361" customHeight="1" spans="1:7">
      <c r="A361" s="1" t="str">
        <f>IF(MAX($A$2:A360)=$B$1,"",MAX($A$2:A360)+1)</f>
        <v/>
      </c>
      <c r="B361" s="2" t="str">
        <f>IF(COUNT($A361)=0,"",VLOOKUP($A361,'物料分类表 R22'!$B$2:$H$1090,C361*2,FALSE))</f>
        <v/>
      </c>
      <c r="C361" s="2" t="e">
        <f>SUMIFS('物料分类表 R22'!#REF!,'物料分类表 R22'!$B$2:$B$1090,A361)</f>
        <v>#REF!</v>
      </c>
      <c r="D361" s="2" t="str">
        <f>IF(COUNT($A361)=0,"",IF(VLOOKUP($A361,'物料分类表 R22'!$B$2:$H$1090,D$3*2,FALSE)=0,D360,VLOOKUP($A361,'物料分类表 R22'!$B$2:$H$1090,D$3*2,FALSE)))</f>
        <v/>
      </c>
      <c r="E361" s="1" t="str">
        <f t="shared" si="16"/>
        <v/>
      </c>
      <c r="F361" s="1" t="str">
        <f t="shared" si="17"/>
        <v/>
      </c>
      <c r="G361" s="1" t="str">
        <f t="shared" si="18"/>
        <v/>
      </c>
    </row>
    <row r="362" customHeight="1" spans="1:7">
      <c r="A362" s="1" t="str">
        <f>IF(MAX($A$2:A361)=$B$1,"",MAX($A$2:A361)+1)</f>
        <v/>
      </c>
      <c r="B362" s="2" t="str">
        <f>IF(COUNT($A362)=0,"",VLOOKUP($A362,'物料分类表 R22'!$B$2:$H$1090,C362*2,FALSE))</f>
        <v/>
      </c>
      <c r="C362" s="2" t="e">
        <f>SUMIFS('物料分类表 R22'!#REF!,'物料分类表 R22'!$B$2:$B$1090,A362)</f>
        <v>#REF!</v>
      </c>
      <c r="D362" s="2" t="str">
        <f>IF(COUNT($A362)=0,"",IF(VLOOKUP($A362,'物料分类表 R22'!$B$2:$H$1090,D$3*2,FALSE)=0,D361,VLOOKUP($A362,'物料分类表 R22'!$B$2:$H$1090,D$3*2,FALSE)))</f>
        <v/>
      </c>
      <c r="E362" s="1" t="str">
        <f t="shared" si="16"/>
        <v/>
      </c>
      <c r="F362" s="1" t="str">
        <f t="shared" si="17"/>
        <v/>
      </c>
      <c r="G362" s="1" t="str">
        <f t="shared" si="18"/>
        <v/>
      </c>
    </row>
    <row r="363" customHeight="1" spans="1:7">
      <c r="A363" s="1" t="str">
        <f>IF(MAX($A$2:A362)=$B$1,"",MAX($A$2:A362)+1)</f>
        <v/>
      </c>
      <c r="B363" s="2" t="str">
        <f>IF(COUNT($A363)=0,"",VLOOKUP($A363,'物料分类表 R22'!$B$2:$H$1090,C363*2,FALSE))</f>
        <v/>
      </c>
      <c r="C363" s="2" t="e">
        <f>SUMIFS('物料分类表 R22'!#REF!,'物料分类表 R22'!$B$2:$B$1090,A363)</f>
        <v>#REF!</v>
      </c>
      <c r="D363" s="2" t="str">
        <f>IF(COUNT($A363)=0,"",IF(VLOOKUP($A363,'物料分类表 R22'!$B$2:$H$1090,D$3*2,FALSE)=0,D362,VLOOKUP($A363,'物料分类表 R22'!$B$2:$H$1090,D$3*2,FALSE)))</f>
        <v/>
      </c>
      <c r="E363" s="1" t="str">
        <f t="shared" ref="E363:E426" si="19">IF(COUNT($A363)=0,"",VLOOKUP(MID($D363,1,1),$P:$Q,2,FALSE))</f>
        <v/>
      </c>
      <c r="F363" s="1" t="str">
        <f t="shared" ref="F363:F426" si="20">IF(COUNT($A363)=0,"",VLOOKUP(MID($D363,1,2),$P:$Q,2,FALSE))</f>
        <v/>
      </c>
      <c r="G363" s="1" t="str">
        <f t="shared" ref="G363:G426" si="21">IF(COUNT($A363)=0,"",IF(C363=4,IF(COUNT($A363)=0,"",VLOOKUP(MID($D363,1,3),$P:$Q,2,FALSE)),""))</f>
        <v/>
      </c>
    </row>
    <row r="364" customHeight="1" spans="1:7">
      <c r="A364" s="1" t="str">
        <f>IF(MAX($A$2:A363)=$B$1,"",MAX($A$2:A363)+1)</f>
        <v/>
      </c>
      <c r="B364" s="2" t="str">
        <f>IF(COUNT($A364)=0,"",VLOOKUP($A364,'物料分类表 R22'!$B$2:$H$1090,C364*2,FALSE))</f>
        <v/>
      </c>
      <c r="C364" s="2" t="e">
        <f>SUMIFS('物料分类表 R22'!#REF!,'物料分类表 R22'!$B$2:$B$1090,A364)</f>
        <v>#REF!</v>
      </c>
      <c r="D364" s="2" t="str">
        <f>IF(COUNT($A364)=0,"",IF(VLOOKUP($A364,'物料分类表 R22'!$B$2:$H$1090,D$3*2,FALSE)=0,D363,VLOOKUP($A364,'物料分类表 R22'!$B$2:$H$1090,D$3*2,FALSE)))</f>
        <v/>
      </c>
      <c r="E364" s="1" t="str">
        <f t="shared" si="19"/>
        <v/>
      </c>
      <c r="F364" s="1" t="str">
        <f t="shared" si="20"/>
        <v/>
      </c>
      <c r="G364" s="1" t="str">
        <f t="shared" si="21"/>
        <v/>
      </c>
    </row>
    <row r="365" customHeight="1" spans="1:7">
      <c r="A365" s="1" t="str">
        <f>IF(MAX($A$2:A364)=$B$1,"",MAX($A$2:A364)+1)</f>
        <v/>
      </c>
      <c r="B365" s="2" t="str">
        <f>IF(COUNT($A365)=0,"",VLOOKUP($A365,'物料分类表 R22'!$B$2:$H$1090,C365*2,FALSE))</f>
        <v/>
      </c>
      <c r="C365" s="2" t="e">
        <f>SUMIFS('物料分类表 R22'!#REF!,'物料分类表 R22'!$B$2:$B$1090,A365)</f>
        <v>#REF!</v>
      </c>
      <c r="D365" s="2" t="str">
        <f>IF(COUNT($A365)=0,"",IF(VLOOKUP($A365,'物料分类表 R22'!$B$2:$H$1090,D$3*2,FALSE)=0,D364,VLOOKUP($A365,'物料分类表 R22'!$B$2:$H$1090,D$3*2,FALSE)))</f>
        <v/>
      </c>
      <c r="E365" s="1" t="str">
        <f t="shared" si="19"/>
        <v/>
      </c>
      <c r="F365" s="1" t="str">
        <f t="shared" si="20"/>
        <v/>
      </c>
      <c r="G365" s="1" t="str">
        <f t="shared" si="21"/>
        <v/>
      </c>
    </row>
    <row r="366" customHeight="1" spans="1:7">
      <c r="A366" s="1" t="str">
        <f>IF(MAX($A$2:A365)=$B$1,"",MAX($A$2:A365)+1)</f>
        <v/>
      </c>
      <c r="B366" s="2" t="str">
        <f>IF(COUNT($A366)=0,"",VLOOKUP($A366,'物料分类表 R22'!$B$2:$H$1090,C366*2,FALSE))</f>
        <v/>
      </c>
      <c r="C366" s="2" t="e">
        <f>SUMIFS('物料分类表 R22'!#REF!,'物料分类表 R22'!$B$2:$B$1090,A366)</f>
        <v>#REF!</v>
      </c>
      <c r="D366" s="2" t="str">
        <f>IF(COUNT($A366)=0,"",IF(VLOOKUP($A366,'物料分类表 R22'!$B$2:$H$1090,D$3*2,FALSE)=0,D365,VLOOKUP($A366,'物料分类表 R22'!$B$2:$H$1090,D$3*2,FALSE)))</f>
        <v/>
      </c>
      <c r="E366" s="1" t="str">
        <f t="shared" si="19"/>
        <v/>
      </c>
      <c r="F366" s="1" t="str">
        <f t="shared" si="20"/>
        <v/>
      </c>
      <c r="G366" s="1" t="str">
        <f t="shared" si="21"/>
        <v/>
      </c>
    </row>
    <row r="367" customHeight="1" spans="1:7">
      <c r="A367" s="1" t="str">
        <f>IF(MAX($A$2:A366)=$B$1,"",MAX($A$2:A366)+1)</f>
        <v/>
      </c>
      <c r="B367" s="2" t="str">
        <f>IF(COUNT($A367)=0,"",VLOOKUP($A367,'物料分类表 R22'!$B$2:$H$1090,C367*2,FALSE))</f>
        <v/>
      </c>
      <c r="C367" s="2" t="e">
        <f>SUMIFS('物料分类表 R22'!#REF!,'物料分类表 R22'!$B$2:$B$1090,A367)</f>
        <v>#REF!</v>
      </c>
      <c r="D367" s="2" t="str">
        <f>IF(COUNT($A367)=0,"",IF(VLOOKUP($A367,'物料分类表 R22'!$B$2:$H$1090,D$3*2,FALSE)=0,D366,VLOOKUP($A367,'物料分类表 R22'!$B$2:$H$1090,D$3*2,FALSE)))</f>
        <v/>
      </c>
      <c r="E367" s="1" t="str">
        <f t="shared" si="19"/>
        <v/>
      </c>
      <c r="F367" s="1" t="str">
        <f t="shared" si="20"/>
        <v/>
      </c>
      <c r="G367" s="1" t="str">
        <f t="shared" si="21"/>
        <v/>
      </c>
    </row>
    <row r="368" customHeight="1" spans="1:7">
      <c r="A368" s="1" t="str">
        <f>IF(MAX($A$2:A367)=$B$1,"",MAX($A$2:A367)+1)</f>
        <v/>
      </c>
      <c r="B368" s="2" t="str">
        <f>IF(COUNT($A368)=0,"",VLOOKUP($A368,'物料分类表 R22'!$B$2:$H$1090,C368*2,FALSE))</f>
        <v/>
      </c>
      <c r="C368" s="2" t="e">
        <f>SUMIFS('物料分类表 R22'!#REF!,'物料分类表 R22'!$B$2:$B$1090,A368)</f>
        <v>#REF!</v>
      </c>
      <c r="D368" s="2" t="str">
        <f>IF(COUNT($A368)=0,"",IF(VLOOKUP($A368,'物料分类表 R22'!$B$2:$H$1090,D$3*2,FALSE)=0,D367,VLOOKUP($A368,'物料分类表 R22'!$B$2:$H$1090,D$3*2,FALSE)))</f>
        <v/>
      </c>
      <c r="E368" s="1" t="str">
        <f t="shared" si="19"/>
        <v/>
      </c>
      <c r="F368" s="1" t="str">
        <f t="shared" si="20"/>
        <v/>
      </c>
      <c r="G368" s="1" t="str">
        <f t="shared" si="21"/>
        <v/>
      </c>
    </row>
    <row r="369" customHeight="1" spans="1:7">
      <c r="A369" s="1" t="str">
        <f>IF(MAX($A$2:A368)=$B$1,"",MAX($A$2:A368)+1)</f>
        <v/>
      </c>
      <c r="B369" s="2" t="str">
        <f>IF(COUNT($A369)=0,"",VLOOKUP($A369,'物料分类表 R22'!$B$2:$H$1090,C369*2,FALSE))</f>
        <v/>
      </c>
      <c r="C369" s="2" t="e">
        <f>SUMIFS('物料分类表 R22'!#REF!,'物料分类表 R22'!$B$2:$B$1090,A369)</f>
        <v>#REF!</v>
      </c>
      <c r="D369" s="2" t="str">
        <f>IF(COUNT($A369)=0,"",IF(VLOOKUP($A369,'物料分类表 R22'!$B$2:$H$1090,D$3*2,FALSE)=0,D368,VLOOKUP($A369,'物料分类表 R22'!$B$2:$H$1090,D$3*2,FALSE)))</f>
        <v/>
      </c>
      <c r="E369" s="1" t="str">
        <f t="shared" si="19"/>
        <v/>
      </c>
      <c r="F369" s="1" t="str">
        <f t="shared" si="20"/>
        <v/>
      </c>
      <c r="G369" s="1" t="str">
        <f t="shared" si="21"/>
        <v/>
      </c>
    </row>
    <row r="370" customHeight="1" spans="1:7">
      <c r="A370" s="1" t="str">
        <f>IF(MAX($A$2:A369)=$B$1,"",MAX($A$2:A369)+1)</f>
        <v/>
      </c>
      <c r="B370" s="2" t="str">
        <f>IF(COUNT($A370)=0,"",VLOOKUP($A370,'物料分类表 R22'!$B$2:$H$1090,C370*2,FALSE))</f>
        <v/>
      </c>
      <c r="C370" s="2" t="e">
        <f>SUMIFS('物料分类表 R22'!#REF!,'物料分类表 R22'!$B$2:$B$1090,A370)</f>
        <v>#REF!</v>
      </c>
      <c r="D370" s="2" t="str">
        <f>IF(COUNT($A370)=0,"",IF(VLOOKUP($A370,'物料分类表 R22'!$B$2:$H$1090,D$3*2,FALSE)=0,D369,VLOOKUP($A370,'物料分类表 R22'!$B$2:$H$1090,D$3*2,FALSE)))</f>
        <v/>
      </c>
      <c r="E370" s="1" t="str">
        <f t="shared" si="19"/>
        <v/>
      </c>
      <c r="F370" s="1" t="str">
        <f t="shared" si="20"/>
        <v/>
      </c>
      <c r="G370" s="1" t="str">
        <f t="shared" si="21"/>
        <v/>
      </c>
    </row>
    <row r="371" customHeight="1" spans="1:7">
      <c r="A371" s="1" t="str">
        <f>IF(MAX($A$2:A370)=$B$1,"",MAX($A$2:A370)+1)</f>
        <v/>
      </c>
      <c r="B371" s="2" t="str">
        <f>IF(COUNT($A371)=0,"",VLOOKUP($A371,'物料分类表 R22'!$B$2:$H$1090,C371*2,FALSE))</f>
        <v/>
      </c>
      <c r="C371" s="2" t="e">
        <f>SUMIFS('物料分类表 R22'!#REF!,'物料分类表 R22'!$B$2:$B$1090,A371)</f>
        <v>#REF!</v>
      </c>
      <c r="D371" s="2" t="str">
        <f>IF(COUNT($A371)=0,"",IF(VLOOKUP($A371,'物料分类表 R22'!$B$2:$H$1090,D$3*2,FALSE)=0,D370,VLOOKUP($A371,'物料分类表 R22'!$B$2:$H$1090,D$3*2,FALSE)))</f>
        <v/>
      </c>
      <c r="E371" s="1" t="str">
        <f t="shared" si="19"/>
        <v/>
      </c>
      <c r="F371" s="1" t="str">
        <f t="shared" si="20"/>
        <v/>
      </c>
      <c r="G371" s="1" t="str">
        <f t="shared" si="21"/>
        <v/>
      </c>
    </row>
    <row r="372" customHeight="1" spans="1:7">
      <c r="A372" s="1" t="str">
        <f>IF(MAX($A$2:A371)=$B$1,"",MAX($A$2:A371)+1)</f>
        <v/>
      </c>
      <c r="B372" s="2" t="str">
        <f>IF(COUNT($A372)=0,"",VLOOKUP($A372,'物料分类表 R22'!$B$2:$H$1090,C372*2,FALSE))</f>
        <v/>
      </c>
      <c r="C372" s="2" t="e">
        <f>SUMIFS('物料分类表 R22'!#REF!,'物料分类表 R22'!$B$2:$B$1090,A372)</f>
        <v>#REF!</v>
      </c>
      <c r="D372" s="2" t="str">
        <f>IF(COUNT($A372)=0,"",IF(VLOOKUP($A372,'物料分类表 R22'!$B$2:$H$1090,D$3*2,FALSE)=0,D371,VLOOKUP($A372,'物料分类表 R22'!$B$2:$H$1090,D$3*2,FALSE)))</f>
        <v/>
      </c>
      <c r="E372" s="1" t="str">
        <f t="shared" si="19"/>
        <v/>
      </c>
      <c r="F372" s="1" t="str">
        <f t="shared" si="20"/>
        <v/>
      </c>
      <c r="G372" s="1" t="str">
        <f t="shared" si="21"/>
        <v/>
      </c>
    </row>
    <row r="373" customHeight="1" spans="1:7">
      <c r="A373" s="1" t="str">
        <f>IF(MAX($A$2:A372)=$B$1,"",MAX($A$2:A372)+1)</f>
        <v/>
      </c>
      <c r="B373" s="2" t="str">
        <f>IF(COUNT($A373)=0,"",VLOOKUP($A373,'物料分类表 R22'!$B$2:$H$1090,C373*2,FALSE))</f>
        <v/>
      </c>
      <c r="C373" s="2" t="e">
        <f>SUMIFS('物料分类表 R22'!#REF!,'物料分类表 R22'!$B$2:$B$1090,A373)</f>
        <v>#REF!</v>
      </c>
      <c r="D373" s="2" t="str">
        <f>IF(COUNT($A373)=0,"",IF(VLOOKUP($A373,'物料分类表 R22'!$B$2:$H$1090,D$3*2,FALSE)=0,D372,VLOOKUP($A373,'物料分类表 R22'!$B$2:$H$1090,D$3*2,FALSE)))</f>
        <v/>
      </c>
      <c r="E373" s="1" t="str">
        <f t="shared" si="19"/>
        <v/>
      </c>
      <c r="F373" s="1" t="str">
        <f t="shared" si="20"/>
        <v/>
      </c>
      <c r="G373" s="1" t="str">
        <f t="shared" si="21"/>
        <v/>
      </c>
    </row>
    <row r="374" customHeight="1" spans="1:7">
      <c r="A374" s="1" t="str">
        <f>IF(MAX($A$2:A373)=$B$1,"",MAX($A$2:A373)+1)</f>
        <v/>
      </c>
      <c r="B374" s="2" t="str">
        <f>IF(COUNT($A374)=0,"",VLOOKUP($A374,'物料分类表 R22'!$B$2:$H$1090,C374*2,FALSE))</f>
        <v/>
      </c>
      <c r="C374" s="2" t="e">
        <f>SUMIFS('物料分类表 R22'!#REF!,'物料分类表 R22'!$B$2:$B$1090,A374)</f>
        <v>#REF!</v>
      </c>
      <c r="D374" s="2" t="str">
        <f>IF(COUNT($A374)=0,"",IF(VLOOKUP($A374,'物料分类表 R22'!$B$2:$H$1090,D$3*2,FALSE)=0,D373,VLOOKUP($A374,'物料分类表 R22'!$B$2:$H$1090,D$3*2,FALSE)))</f>
        <v/>
      </c>
      <c r="E374" s="1" t="str">
        <f t="shared" si="19"/>
        <v/>
      </c>
      <c r="F374" s="1" t="str">
        <f t="shared" si="20"/>
        <v/>
      </c>
      <c r="G374" s="1" t="str">
        <f t="shared" si="21"/>
        <v/>
      </c>
    </row>
    <row r="375" customHeight="1" spans="1:7">
      <c r="A375" s="1" t="str">
        <f>IF(MAX($A$2:A374)=$B$1,"",MAX($A$2:A374)+1)</f>
        <v/>
      </c>
      <c r="B375" s="2" t="str">
        <f>IF(COUNT($A375)=0,"",VLOOKUP($A375,'物料分类表 R22'!$B$2:$H$1090,C375*2,FALSE))</f>
        <v/>
      </c>
      <c r="C375" s="2" t="e">
        <f>SUMIFS('物料分类表 R22'!#REF!,'物料分类表 R22'!$B$2:$B$1090,A375)</f>
        <v>#REF!</v>
      </c>
      <c r="D375" s="2" t="str">
        <f>IF(COUNT($A375)=0,"",IF(VLOOKUP($A375,'物料分类表 R22'!$B$2:$H$1090,D$3*2,FALSE)=0,D374,VLOOKUP($A375,'物料分类表 R22'!$B$2:$H$1090,D$3*2,FALSE)))</f>
        <v/>
      </c>
      <c r="E375" s="1" t="str">
        <f t="shared" si="19"/>
        <v/>
      </c>
      <c r="F375" s="1" t="str">
        <f t="shared" si="20"/>
        <v/>
      </c>
      <c r="G375" s="1" t="str">
        <f t="shared" si="21"/>
        <v/>
      </c>
    </row>
    <row r="376" customHeight="1" spans="1:7">
      <c r="A376" s="1" t="str">
        <f>IF(MAX($A$2:A375)=$B$1,"",MAX($A$2:A375)+1)</f>
        <v/>
      </c>
      <c r="B376" s="2" t="str">
        <f>IF(COUNT($A376)=0,"",VLOOKUP($A376,'物料分类表 R22'!$B$2:$H$1090,C376*2,FALSE))</f>
        <v/>
      </c>
      <c r="C376" s="2" t="e">
        <f>SUMIFS('物料分类表 R22'!#REF!,'物料分类表 R22'!$B$2:$B$1090,A376)</f>
        <v>#REF!</v>
      </c>
      <c r="D376" s="2" t="str">
        <f>IF(COUNT($A376)=0,"",IF(VLOOKUP($A376,'物料分类表 R22'!$B$2:$H$1090,D$3*2,FALSE)=0,D375,VLOOKUP($A376,'物料分类表 R22'!$B$2:$H$1090,D$3*2,FALSE)))</f>
        <v/>
      </c>
      <c r="E376" s="1" t="str">
        <f t="shared" si="19"/>
        <v/>
      </c>
      <c r="F376" s="1" t="str">
        <f t="shared" si="20"/>
        <v/>
      </c>
      <c r="G376" s="1" t="str">
        <f t="shared" si="21"/>
        <v/>
      </c>
    </row>
    <row r="377" customHeight="1" spans="1:7">
      <c r="A377" s="1" t="str">
        <f>IF(MAX($A$2:A376)=$B$1,"",MAX($A$2:A376)+1)</f>
        <v/>
      </c>
      <c r="B377" s="2" t="str">
        <f>IF(COUNT($A377)=0,"",VLOOKUP($A377,'物料分类表 R22'!$B$2:$H$1090,C377*2,FALSE))</f>
        <v/>
      </c>
      <c r="C377" s="2" t="e">
        <f>SUMIFS('物料分类表 R22'!#REF!,'物料分类表 R22'!$B$2:$B$1090,A377)</f>
        <v>#REF!</v>
      </c>
      <c r="D377" s="2" t="str">
        <f>IF(COUNT($A377)=0,"",IF(VLOOKUP($A377,'物料分类表 R22'!$B$2:$H$1090,D$3*2,FALSE)=0,D376,VLOOKUP($A377,'物料分类表 R22'!$B$2:$H$1090,D$3*2,FALSE)))</f>
        <v/>
      </c>
      <c r="E377" s="1" t="str">
        <f t="shared" si="19"/>
        <v/>
      </c>
      <c r="F377" s="1" t="str">
        <f t="shared" si="20"/>
        <v/>
      </c>
      <c r="G377" s="1" t="str">
        <f t="shared" si="21"/>
        <v/>
      </c>
    </row>
    <row r="378" customHeight="1" spans="1:7">
      <c r="A378" s="1" t="str">
        <f>IF(MAX($A$2:A377)=$B$1,"",MAX($A$2:A377)+1)</f>
        <v/>
      </c>
      <c r="B378" s="2" t="str">
        <f>IF(COUNT($A378)=0,"",VLOOKUP($A378,'物料分类表 R22'!$B$2:$H$1090,C378*2,FALSE))</f>
        <v/>
      </c>
      <c r="C378" s="2" t="e">
        <f>SUMIFS('物料分类表 R22'!#REF!,'物料分类表 R22'!$B$2:$B$1090,A378)</f>
        <v>#REF!</v>
      </c>
      <c r="D378" s="2" t="str">
        <f>IF(COUNT($A378)=0,"",IF(VLOOKUP($A378,'物料分类表 R22'!$B$2:$H$1090,D$3*2,FALSE)=0,D377,VLOOKUP($A378,'物料分类表 R22'!$B$2:$H$1090,D$3*2,FALSE)))</f>
        <v/>
      </c>
      <c r="E378" s="1" t="str">
        <f t="shared" si="19"/>
        <v/>
      </c>
      <c r="F378" s="1" t="str">
        <f t="shared" si="20"/>
        <v/>
      </c>
      <c r="G378" s="1" t="str">
        <f t="shared" si="21"/>
        <v/>
      </c>
    </row>
    <row r="379" customHeight="1" spans="1:7">
      <c r="A379" s="1" t="str">
        <f>IF(MAX($A$2:A378)=$B$1,"",MAX($A$2:A378)+1)</f>
        <v/>
      </c>
      <c r="B379" s="2" t="str">
        <f>IF(COUNT($A379)=0,"",VLOOKUP($A379,'物料分类表 R22'!$B$2:$H$1090,C379*2,FALSE))</f>
        <v/>
      </c>
      <c r="C379" s="2" t="e">
        <f>SUMIFS('物料分类表 R22'!#REF!,'物料分类表 R22'!$B$2:$B$1090,A379)</f>
        <v>#REF!</v>
      </c>
      <c r="D379" s="2" t="str">
        <f>IF(COUNT($A379)=0,"",IF(VLOOKUP($A379,'物料分类表 R22'!$B$2:$H$1090,D$3*2,FALSE)=0,D378,VLOOKUP($A379,'物料分类表 R22'!$B$2:$H$1090,D$3*2,FALSE)))</f>
        <v/>
      </c>
      <c r="E379" s="1" t="str">
        <f t="shared" si="19"/>
        <v/>
      </c>
      <c r="F379" s="1" t="str">
        <f t="shared" si="20"/>
        <v/>
      </c>
      <c r="G379" s="1" t="str">
        <f t="shared" si="21"/>
        <v/>
      </c>
    </row>
    <row r="380" customHeight="1" spans="1:7">
      <c r="A380" s="1" t="str">
        <f>IF(MAX($A$2:A379)=$B$1,"",MAX($A$2:A379)+1)</f>
        <v/>
      </c>
      <c r="B380" s="2" t="str">
        <f>IF(COUNT($A380)=0,"",VLOOKUP($A380,'物料分类表 R22'!$B$2:$H$1090,C380*2,FALSE))</f>
        <v/>
      </c>
      <c r="C380" s="2" t="e">
        <f>SUMIFS('物料分类表 R22'!#REF!,'物料分类表 R22'!$B$2:$B$1090,A380)</f>
        <v>#REF!</v>
      </c>
      <c r="D380" s="2" t="str">
        <f>IF(COUNT($A380)=0,"",IF(VLOOKUP($A380,'物料分类表 R22'!$B$2:$H$1090,D$3*2,FALSE)=0,D379,VLOOKUP($A380,'物料分类表 R22'!$B$2:$H$1090,D$3*2,FALSE)))</f>
        <v/>
      </c>
      <c r="E380" s="1" t="str">
        <f t="shared" si="19"/>
        <v/>
      </c>
      <c r="F380" s="1" t="str">
        <f t="shared" si="20"/>
        <v/>
      </c>
      <c r="G380" s="1" t="str">
        <f t="shared" si="21"/>
        <v/>
      </c>
    </row>
    <row r="381" customHeight="1" spans="1:7">
      <c r="A381" s="1" t="str">
        <f>IF(MAX($A$2:A380)=$B$1,"",MAX($A$2:A380)+1)</f>
        <v/>
      </c>
      <c r="B381" s="2" t="str">
        <f>IF(COUNT($A381)=0,"",VLOOKUP($A381,'物料分类表 R22'!$B$2:$H$1090,C381*2,FALSE))</f>
        <v/>
      </c>
      <c r="C381" s="2" t="e">
        <f>SUMIFS('物料分类表 R22'!#REF!,'物料分类表 R22'!$B$2:$B$1090,A381)</f>
        <v>#REF!</v>
      </c>
      <c r="D381" s="2" t="str">
        <f>IF(COUNT($A381)=0,"",IF(VLOOKUP($A381,'物料分类表 R22'!$B$2:$H$1090,D$3*2,FALSE)=0,D380,VLOOKUP($A381,'物料分类表 R22'!$B$2:$H$1090,D$3*2,FALSE)))</f>
        <v/>
      </c>
      <c r="E381" s="1" t="str">
        <f t="shared" si="19"/>
        <v/>
      </c>
      <c r="F381" s="1" t="str">
        <f t="shared" si="20"/>
        <v/>
      </c>
      <c r="G381" s="1" t="str">
        <f t="shared" si="21"/>
        <v/>
      </c>
    </row>
    <row r="382" customHeight="1" spans="1:7">
      <c r="A382" s="1" t="str">
        <f>IF(MAX($A$2:A381)=$B$1,"",MAX($A$2:A381)+1)</f>
        <v/>
      </c>
      <c r="B382" s="2" t="str">
        <f>IF(COUNT($A382)=0,"",VLOOKUP($A382,'物料分类表 R22'!$B$2:$H$1090,C382*2,FALSE))</f>
        <v/>
      </c>
      <c r="C382" s="2" t="e">
        <f>SUMIFS('物料分类表 R22'!#REF!,'物料分类表 R22'!$B$2:$B$1090,A382)</f>
        <v>#REF!</v>
      </c>
      <c r="D382" s="2" t="str">
        <f>IF(COUNT($A382)=0,"",IF(VLOOKUP($A382,'物料分类表 R22'!$B$2:$H$1090,D$3*2,FALSE)=0,D381,VLOOKUP($A382,'物料分类表 R22'!$B$2:$H$1090,D$3*2,FALSE)))</f>
        <v/>
      </c>
      <c r="E382" s="1" t="str">
        <f t="shared" si="19"/>
        <v/>
      </c>
      <c r="F382" s="1" t="str">
        <f t="shared" si="20"/>
        <v/>
      </c>
      <c r="G382" s="1" t="str">
        <f t="shared" si="21"/>
        <v/>
      </c>
    </row>
    <row r="383" customHeight="1" spans="1:7">
      <c r="A383" s="1" t="str">
        <f>IF(MAX($A$2:A382)=$B$1,"",MAX($A$2:A382)+1)</f>
        <v/>
      </c>
      <c r="B383" s="2" t="str">
        <f>IF(COUNT($A383)=0,"",VLOOKUP($A383,'物料分类表 R22'!$B$2:$H$1090,C383*2,FALSE))</f>
        <v/>
      </c>
      <c r="C383" s="2" t="e">
        <f>SUMIFS('物料分类表 R22'!#REF!,'物料分类表 R22'!$B$2:$B$1090,A383)</f>
        <v>#REF!</v>
      </c>
      <c r="D383" s="2" t="str">
        <f>IF(COUNT($A383)=0,"",IF(VLOOKUP($A383,'物料分类表 R22'!$B$2:$H$1090,D$3*2,FALSE)=0,D382,VLOOKUP($A383,'物料分类表 R22'!$B$2:$H$1090,D$3*2,FALSE)))</f>
        <v/>
      </c>
      <c r="E383" s="1" t="str">
        <f t="shared" si="19"/>
        <v/>
      </c>
      <c r="F383" s="1" t="str">
        <f t="shared" si="20"/>
        <v/>
      </c>
      <c r="G383" s="1" t="str">
        <f t="shared" si="21"/>
        <v/>
      </c>
    </row>
    <row r="384" customHeight="1" spans="1:7">
      <c r="A384" s="1" t="str">
        <f>IF(MAX($A$2:A383)=$B$1,"",MAX($A$2:A383)+1)</f>
        <v/>
      </c>
      <c r="B384" s="2" t="str">
        <f>IF(COUNT($A384)=0,"",VLOOKUP($A384,'物料分类表 R22'!$B$2:$H$1090,C384*2,FALSE))</f>
        <v/>
      </c>
      <c r="C384" s="2" t="e">
        <f>SUMIFS('物料分类表 R22'!#REF!,'物料分类表 R22'!$B$2:$B$1090,A384)</f>
        <v>#REF!</v>
      </c>
      <c r="D384" s="2" t="str">
        <f>IF(COUNT($A384)=0,"",IF(VLOOKUP($A384,'物料分类表 R22'!$B$2:$H$1090,D$3*2,FALSE)=0,D383,VLOOKUP($A384,'物料分类表 R22'!$B$2:$H$1090,D$3*2,FALSE)))</f>
        <v/>
      </c>
      <c r="E384" s="1" t="str">
        <f t="shared" si="19"/>
        <v/>
      </c>
      <c r="F384" s="1" t="str">
        <f t="shared" si="20"/>
        <v/>
      </c>
      <c r="G384" s="1" t="str">
        <f t="shared" si="21"/>
        <v/>
      </c>
    </row>
    <row r="385" customHeight="1" spans="1:7">
      <c r="A385" s="1" t="str">
        <f>IF(MAX($A$2:A384)=$B$1,"",MAX($A$2:A384)+1)</f>
        <v/>
      </c>
      <c r="B385" s="2" t="str">
        <f>IF(COUNT($A385)=0,"",VLOOKUP($A385,'物料分类表 R22'!$B$2:$H$1090,C385*2,FALSE))</f>
        <v/>
      </c>
      <c r="C385" s="2" t="e">
        <f>SUMIFS('物料分类表 R22'!#REF!,'物料分类表 R22'!$B$2:$B$1090,A385)</f>
        <v>#REF!</v>
      </c>
      <c r="D385" s="2" t="str">
        <f>IF(COUNT($A385)=0,"",IF(VLOOKUP($A385,'物料分类表 R22'!$B$2:$H$1090,D$3*2,FALSE)=0,D384,VLOOKUP($A385,'物料分类表 R22'!$B$2:$H$1090,D$3*2,FALSE)))</f>
        <v/>
      </c>
      <c r="E385" s="1" t="str">
        <f t="shared" si="19"/>
        <v/>
      </c>
      <c r="F385" s="1" t="str">
        <f t="shared" si="20"/>
        <v/>
      </c>
      <c r="G385" s="1" t="str">
        <f t="shared" si="21"/>
        <v/>
      </c>
    </row>
    <row r="386" customHeight="1" spans="1:7">
      <c r="A386" s="1" t="str">
        <f>IF(MAX($A$2:A385)=$B$1,"",MAX($A$2:A385)+1)</f>
        <v/>
      </c>
      <c r="B386" s="2" t="str">
        <f>IF(COUNT($A386)=0,"",VLOOKUP($A386,'物料分类表 R22'!$B$2:$H$1090,C386*2,FALSE))</f>
        <v/>
      </c>
      <c r="C386" s="2" t="e">
        <f>SUMIFS('物料分类表 R22'!#REF!,'物料分类表 R22'!$B$2:$B$1090,A386)</f>
        <v>#REF!</v>
      </c>
      <c r="D386" s="2" t="str">
        <f>IF(COUNT($A386)=0,"",IF(VLOOKUP($A386,'物料分类表 R22'!$B$2:$H$1090,D$3*2,FALSE)=0,D385,VLOOKUP($A386,'物料分类表 R22'!$B$2:$H$1090,D$3*2,FALSE)))</f>
        <v/>
      </c>
      <c r="E386" s="1" t="str">
        <f t="shared" si="19"/>
        <v/>
      </c>
      <c r="F386" s="1" t="str">
        <f t="shared" si="20"/>
        <v/>
      </c>
      <c r="G386" s="1" t="str">
        <f t="shared" si="21"/>
        <v/>
      </c>
    </row>
    <row r="387" customHeight="1" spans="1:7">
      <c r="A387" s="1" t="str">
        <f>IF(MAX($A$2:A386)=$B$1,"",MAX($A$2:A386)+1)</f>
        <v/>
      </c>
      <c r="B387" s="2" t="str">
        <f>IF(COUNT($A387)=0,"",VLOOKUP($A387,'物料分类表 R22'!$B$2:$H$1090,C387*2,FALSE))</f>
        <v/>
      </c>
      <c r="C387" s="2" t="e">
        <f>SUMIFS('物料分类表 R22'!#REF!,'物料分类表 R22'!$B$2:$B$1090,A387)</f>
        <v>#REF!</v>
      </c>
      <c r="D387" s="2" t="str">
        <f>IF(COUNT($A387)=0,"",IF(VLOOKUP($A387,'物料分类表 R22'!$B$2:$H$1090,D$3*2,FALSE)=0,D386,VLOOKUP($A387,'物料分类表 R22'!$B$2:$H$1090,D$3*2,FALSE)))</f>
        <v/>
      </c>
      <c r="E387" s="1" t="str">
        <f t="shared" si="19"/>
        <v/>
      </c>
      <c r="F387" s="1" t="str">
        <f t="shared" si="20"/>
        <v/>
      </c>
      <c r="G387" s="1" t="str">
        <f t="shared" si="21"/>
        <v/>
      </c>
    </row>
    <row r="388" customHeight="1" spans="1:7">
      <c r="A388" s="1" t="str">
        <f>IF(MAX($A$2:A387)=$B$1,"",MAX($A$2:A387)+1)</f>
        <v/>
      </c>
      <c r="B388" s="2" t="str">
        <f>IF(COUNT($A388)=0,"",VLOOKUP($A388,'物料分类表 R22'!$B$2:$H$1090,C388*2,FALSE))</f>
        <v/>
      </c>
      <c r="C388" s="2" t="e">
        <f>SUMIFS('物料分类表 R22'!#REF!,'物料分类表 R22'!$B$2:$B$1090,A388)</f>
        <v>#REF!</v>
      </c>
      <c r="D388" s="2" t="str">
        <f>IF(COUNT($A388)=0,"",IF(VLOOKUP($A388,'物料分类表 R22'!$B$2:$H$1090,D$3*2,FALSE)=0,D387,VLOOKUP($A388,'物料分类表 R22'!$B$2:$H$1090,D$3*2,FALSE)))</f>
        <v/>
      </c>
      <c r="E388" s="1" t="str">
        <f t="shared" si="19"/>
        <v/>
      </c>
      <c r="F388" s="1" t="str">
        <f t="shared" si="20"/>
        <v/>
      </c>
      <c r="G388" s="1" t="str">
        <f t="shared" si="21"/>
        <v/>
      </c>
    </row>
    <row r="389" customHeight="1" spans="1:7">
      <c r="A389" s="1" t="str">
        <f>IF(MAX($A$2:A388)=$B$1,"",MAX($A$2:A388)+1)</f>
        <v/>
      </c>
      <c r="B389" s="2" t="str">
        <f>IF(COUNT($A389)=0,"",VLOOKUP($A389,'物料分类表 R22'!$B$2:$H$1090,C389*2,FALSE))</f>
        <v/>
      </c>
      <c r="C389" s="2" t="e">
        <f>SUMIFS('物料分类表 R22'!#REF!,'物料分类表 R22'!$B$2:$B$1090,A389)</f>
        <v>#REF!</v>
      </c>
      <c r="D389" s="2" t="str">
        <f>IF(COUNT($A389)=0,"",IF(VLOOKUP($A389,'物料分类表 R22'!$B$2:$H$1090,D$3*2,FALSE)=0,D388,VLOOKUP($A389,'物料分类表 R22'!$B$2:$H$1090,D$3*2,FALSE)))</f>
        <v/>
      </c>
      <c r="E389" s="1" t="str">
        <f t="shared" si="19"/>
        <v/>
      </c>
      <c r="F389" s="1" t="str">
        <f t="shared" si="20"/>
        <v/>
      </c>
      <c r="G389" s="1" t="str">
        <f t="shared" si="21"/>
        <v/>
      </c>
    </row>
    <row r="390" customHeight="1" spans="1:7">
      <c r="A390" s="1" t="str">
        <f>IF(MAX($A$2:A389)=$B$1,"",MAX($A$2:A389)+1)</f>
        <v/>
      </c>
      <c r="B390" s="2" t="str">
        <f>IF(COUNT($A390)=0,"",VLOOKUP($A390,'物料分类表 R22'!$B$2:$H$1090,C390*2,FALSE))</f>
        <v/>
      </c>
      <c r="C390" s="2" t="e">
        <f>SUMIFS('物料分类表 R22'!#REF!,'物料分类表 R22'!$B$2:$B$1090,A390)</f>
        <v>#REF!</v>
      </c>
      <c r="D390" s="2" t="str">
        <f>IF(COUNT($A390)=0,"",IF(VLOOKUP($A390,'物料分类表 R22'!$B$2:$H$1090,D$3*2,FALSE)=0,D389,VLOOKUP($A390,'物料分类表 R22'!$B$2:$H$1090,D$3*2,FALSE)))</f>
        <v/>
      </c>
      <c r="E390" s="1" t="str">
        <f t="shared" si="19"/>
        <v/>
      </c>
      <c r="F390" s="1" t="str">
        <f t="shared" si="20"/>
        <v/>
      </c>
      <c r="G390" s="1" t="str">
        <f t="shared" si="21"/>
        <v/>
      </c>
    </row>
    <row r="391" customHeight="1" spans="1:7">
      <c r="A391" s="1" t="str">
        <f>IF(MAX($A$2:A390)=$B$1,"",MAX($A$2:A390)+1)</f>
        <v/>
      </c>
      <c r="B391" s="2" t="str">
        <f>IF(COUNT($A391)=0,"",VLOOKUP($A391,'物料分类表 R22'!$B$2:$H$1090,C391*2,FALSE))</f>
        <v/>
      </c>
      <c r="C391" s="2" t="e">
        <f>SUMIFS('物料分类表 R22'!#REF!,'物料分类表 R22'!$B$2:$B$1090,A391)</f>
        <v>#REF!</v>
      </c>
      <c r="D391" s="2" t="str">
        <f>IF(COUNT($A391)=0,"",IF(VLOOKUP($A391,'物料分类表 R22'!$B$2:$H$1090,D$3*2,FALSE)=0,D390,VLOOKUP($A391,'物料分类表 R22'!$B$2:$H$1090,D$3*2,FALSE)))</f>
        <v/>
      </c>
      <c r="E391" s="1" t="str">
        <f t="shared" si="19"/>
        <v/>
      </c>
      <c r="F391" s="1" t="str">
        <f t="shared" si="20"/>
        <v/>
      </c>
      <c r="G391" s="1" t="str">
        <f t="shared" si="21"/>
        <v/>
      </c>
    </row>
    <row r="392" customHeight="1" spans="1:7">
      <c r="A392" s="1" t="str">
        <f>IF(MAX($A$2:A391)=$B$1,"",MAX($A$2:A391)+1)</f>
        <v/>
      </c>
      <c r="B392" s="2" t="str">
        <f>IF(COUNT($A392)=0,"",VLOOKUP($A392,'物料分类表 R22'!$B$2:$H$1090,C392*2,FALSE))</f>
        <v/>
      </c>
      <c r="C392" s="2" t="e">
        <f>SUMIFS('物料分类表 R22'!#REF!,'物料分类表 R22'!$B$2:$B$1090,A392)</f>
        <v>#REF!</v>
      </c>
      <c r="D392" s="2" t="str">
        <f>IF(COUNT($A392)=0,"",IF(VLOOKUP($A392,'物料分类表 R22'!$B$2:$H$1090,D$3*2,FALSE)=0,D391,VLOOKUP($A392,'物料分类表 R22'!$B$2:$H$1090,D$3*2,FALSE)))</f>
        <v/>
      </c>
      <c r="E392" s="1" t="str">
        <f t="shared" si="19"/>
        <v/>
      </c>
      <c r="F392" s="1" t="str">
        <f t="shared" si="20"/>
        <v/>
      </c>
      <c r="G392" s="1" t="str">
        <f t="shared" si="21"/>
        <v/>
      </c>
    </row>
    <row r="393" customHeight="1" spans="1:7">
      <c r="A393" s="1" t="str">
        <f>IF(MAX($A$2:A392)=$B$1,"",MAX($A$2:A392)+1)</f>
        <v/>
      </c>
      <c r="B393" s="2" t="str">
        <f>IF(COUNT($A393)=0,"",VLOOKUP($A393,'物料分类表 R22'!$B$2:$H$1090,C393*2,FALSE))</f>
        <v/>
      </c>
      <c r="C393" s="2" t="e">
        <f>SUMIFS('物料分类表 R22'!#REF!,'物料分类表 R22'!$B$2:$B$1090,A393)</f>
        <v>#REF!</v>
      </c>
      <c r="D393" s="2" t="str">
        <f>IF(COUNT($A393)=0,"",IF(VLOOKUP($A393,'物料分类表 R22'!$B$2:$H$1090,D$3*2,FALSE)=0,D392,VLOOKUP($A393,'物料分类表 R22'!$B$2:$H$1090,D$3*2,FALSE)))</f>
        <v/>
      </c>
      <c r="E393" s="1" t="str">
        <f t="shared" si="19"/>
        <v/>
      </c>
      <c r="F393" s="1" t="str">
        <f t="shared" si="20"/>
        <v/>
      </c>
      <c r="G393" s="1" t="str">
        <f t="shared" si="21"/>
        <v/>
      </c>
    </row>
    <row r="394" customHeight="1" spans="1:7">
      <c r="A394" s="1" t="str">
        <f>IF(MAX($A$2:A393)=$B$1,"",MAX($A$2:A393)+1)</f>
        <v/>
      </c>
      <c r="B394" s="2" t="str">
        <f>IF(COUNT($A394)=0,"",VLOOKUP($A394,'物料分类表 R22'!$B$2:$H$1090,C394*2,FALSE))</f>
        <v/>
      </c>
      <c r="C394" s="2" t="e">
        <f>SUMIFS('物料分类表 R22'!#REF!,'物料分类表 R22'!$B$2:$B$1090,A394)</f>
        <v>#REF!</v>
      </c>
      <c r="D394" s="2" t="str">
        <f>IF(COUNT($A394)=0,"",IF(VLOOKUP($A394,'物料分类表 R22'!$B$2:$H$1090,D$3*2,FALSE)=0,D393,VLOOKUP($A394,'物料分类表 R22'!$B$2:$H$1090,D$3*2,FALSE)))</f>
        <v/>
      </c>
      <c r="E394" s="1" t="str">
        <f t="shared" si="19"/>
        <v/>
      </c>
      <c r="F394" s="1" t="str">
        <f t="shared" si="20"/>
        <v/>
      </c>
      <c r="G394" s="1" t="str">
        <f t="shared" si="21"/>
        <v/>
      </c>
    </row>
    <row r="395" customHeight="1" spans="1:7">
      <c r="A395" s="1" t="str">
        <f>IF(MAX($A$2:A394)=$B$1,"",MAX($A$2:A394)+1)</f>
        <v/>
      </c>
      <c r="B395" s="2" t="str">
        <f>IF(COUNT($A395)=0,"",VLOOKUP($A395,'物料分类表 R22'!$B$2:$H$1090,C395*2,FALSE))</f>
        <v/>
      </c>
      <c r="C395" s="2" t="e">
        <f>SUMIFS('物料分类表 R22'!#REF!,'物料分类表 R22'!$B$2:$B$1090,A395)</f>
        <v>#REF!</v>
      </c>
      <c r="D395" s="2" t="str">
        <f>IF(COUNT($A395)=0,"",IF(VLOOKUP($A395,'物料分类表 R22'!$B$2:$H$1090,D$3*2,FALSE)=0,D394,VLOOKUP($A395,'物料分类表 R22'!$B$2:$H$1090,D$3*2,FALSE)))</f>
        <v/>
      </c>
      <c r="E395" s="1" t="str">
        <f t="shared" si="19"/>
        <v/>
      </c>
      <c r="F395" s="1" t="str">
        <f t="shared" si="20"/>
        <v/>
      </c>
      <c r="G395" s="1" t="str">
        <f t="shared" si="21"/>
        <v/>
      </c>
    </row>
    <row r="396" customHeight="1" spans="1:7">
      <c r="A396" s="1" t="str">
        <f>IF(MAX($A$2:A395)=$B$1,"",MAX($A$2:A395)+1)</f>
        <v/>
      </c>
      <c r="B396" s="2" t="str">
        <f>IF(COUNT($A396)=0,"",VLOOKUP($A396,'物料分类表 R22'!$B$2:$H$1090,C396*2,FALSE))</f>
        <v/>
      </c>
      <c r="C396" s="2" t="e">
        <f>SUMIFS('物料分类表 R22'!#REF!,'物料分类表 R22'!$B$2:$B$1090,A396)</f>
        <v>#REF!</v>
      </c>
      <c r="D396" s="2" t="str">
        <f>IF(COUNT($A396)=0,"",IF(VLOOKUP($A396,'物料分类表 R22'!$B$2:$H$1090,D$3*2,FALSE)=0,D395,VLOOKUP($A396,'物料分类表 R22'!$B$2:$H$1090,D$3*2,FALSE)))</f>
        <v/>
      </c>
      <c r="E396" s="1" t="str">
        <f t="shared" si="19"/>
        <v/>
      </c>
      <c r="F396" s="1" t="str">
        <f t="shared" si="20"/>
        <v/>
      </c>
      <c r="G396" s="1" t="str">
        <f t="shared" si="21"/>
        <v/>
      </c>
    </row>
    <row r="397" customHeight="1" spans="1:7">
      <c r="A397" s="1" t="str">
        <f>IF(MAX($A$2:A396)=$B$1,"",MAX($A$2:A396)+1)</f>
        <v/>
      </c>
      <c r="B397" s="2" t="str">
        <f>IF(COUNT($A397)=0,"",VLOOKUP($A397,'物料分类表 R22'!$B$2:$H$1090,C397*2,FALSE))</f>
        <v/>
      </c>
      <c r="C397" s="2" t="e">
        <f>SUMIFS('物料分类表 R22'!#REF!,'物料分类表 R22'!$B$2:$B$1090,A397)</f>
        <v>#REF!</v>
      </c>
      <c r="D397" s="2" t="str">
        <f>IF(COUNT($A397)=0,"",IF(VLOOKUP($A397,'物料分类表 R22'!$B$2:$H$1090,D$3*2,FALSE)=0,D396,VLOOKUP($A397,'物料分类表 R22'!$B$2:$H$1090,D$3*2,FALSE)))</f>
        <v/>
      </c>
      <c r="E397" s="1" t="str">
        <f t="shared" si="19"/>
        <v/>
      </c>
      <c r="F397" s="1" t="str">
        <f t="shared" si="20"/>
        <v/>
      </c>
      <c r="G397" s="1" t="str">
        <f t="shared" si="21"/>
        <v/>
      </c>
    </row>
    <row r="398" customHeight="1" spans="1:7">
      <c r="A398" s="1" t="str">
        <f>IF(MAX($A$2:A397)=$B$1,"",MAX($A$2:A397)+1)</f>
        <v/>
      </c>
      <c r="B398" s="2" t="str">
        <f>IF(COUNT($A398)=0,"",VLOOKUP($A398,'物料分类表 R22'!$B$2:$H$1090,C398*2,FALSE))</f>
        <v/>
      </c>
      <c r="C398" s="2" t="e">
        <f>SUMIFS('物料分类表 R22'!#REF!,'物料分类表 R22'!$B$2:$B$1090,A398)</f>
        <v>#REF!</v>
      </c>
      <c r="D398" s="2" t="str">
        <f>IF(COUNT($A398)=0,"",IF(VLOOKUP($A398,'物料分类表 R22'!$B$2:$H$1090,D$3*2,FALSE)=0,D397,VLOOKUP($A398,'物料分类表 R22'!$B$2:$H$1090,D$3*2,FALSE)))</f>
        <v/>
      </c>
      <c r="E398" s="1" t="str">
        <f t="shared" si="19"/>
        <v/>
      </c>
      <c r="F398" s="1" t="str">
        <f t="shared" si="20"/>
        <v/>
      </c>
      <c r="G398" s="1" t="str">
        <f t="shared" si="21"/>
        <v/>
      </c>
    </row>
    <row r="399" customHeight="1" spans="1:7">
      <c r="A399" s="1" t="str">
        <f>IF(MAX($A$2:A398)=$B$1,"",MAX($A$2:A398)+1)</f>
        <v/>
      </c>
      <c r="B399" s="2" t="str">
        <f>IF(COUNT($A399)=0,"",VLOOKUP($A399,'物料分类表 R22'!$B$2:$H$1090,C399*2,FALSE))</f>
        <v/>
      </c>
      <c r="C399" s="2" t="e">
        <f>SUMIFS('物料分类表 R22'!#REF!,'物料分类表 R22'!$B$2:$B$1090,A399)</f>
        <v>#REF!</v>
      </c>
      <c r="D399" s="2" t="str">
        <f>IF(COUNT($A399)=0,"",IF(VLOOKUP($A399,'物料分类表 R22'!$B$2:$H$1090,D$3*2,FALSE)=0,D398,VLOOKUP($A399,'物料分类表 R22'!$B$2:$H$1090,D$3*2,FALSE)))</f>
        <v/>
      </c>
      <c r="E399" s="1" t="str">
        <f t="shared" si="19"/>
        <v/>
      </c>
      <c r="F399" s="1" t="str">
        <f t="shared" si="20"/>
        <v/>
      </c>
      <c r="G399" s="1" t="str">
        <f t="shared" si="21"/>
        <v/>
      </c>
    </row>
    <row r="400" customHeight="1" spans="1:7">
      <c r="A400" s="1" t="str">
        <f>IF(MAX($A$2:A399)=$B$1,"",MAX($A$2:A399)+1)</f>
        <v/>
      </c>
      <c r="B400" s="2" t="str">
        <f>IF(COUNT($A400)=0,"",VLOOKUP($A400,'物料分类表 R22'!$B$2:$H$1090,C400*2,FALSE))</f>
        <v/>
      </c>
      <c r="C400" s="2" t="e">
        <f>SUMIFS('物料分类表 R22'!#REF!,'物料分类表 R22'!$B$2:$B$1090,A400)</f>
        <v>#REF!</v>
      </c>
      <c r="D400" s="2" t="str">
        <f>IF(COUNT($A400)=0,"",IF(VLOOKUP($A400,'物料分类表 R22'!$B$2:$H$1090,D$3*2,FALSE)=0,D399,VLOOKUP($A400,'物料分类表 R22'!$B$2:$H$1090,D$3*2,FALSE)))</f>
        <v/>
      </c>
      <c r="E400" s="1" t="str">
        <f t="shared" si="19"/>
        <v/>
      </c>
      <c r="F400" s="1" t="str">
        <f t="shared" si="20"/>
        <v/>
      </c>
      <c r="G400" s="1" t="str">
        <f t="shared" si="21"/>
        <v/>
      </c>
    </row>
    <row r="401" customHeight="1" spans="1:7">
      <c r="A401" s="1" t="str">
        <f>IF(MAX($A$2:A400)=$B$1,"",MAX($A$2:A400)+1)</f>
        <v/>
      </c>
      <c r="B401" s="2" t="str">
        <f>IF(COUNT($A401)=0,"",VLOOKUP($A401,'物料分类表 R22'!$B$2:$H$1090,C401*2,FALSE))</f>
        <v/>
      </c>
      <c r="C401" s="2" t="e">
        <f>SUMIFS('物料分类表 R22'!#REF!,'物料分类表 R22'!$B$2:$B$1090,A401)</f>
        <v>#REF!</v>
      </c>
      <c r="D401" s="2" t="str">
        <f>IF(COUNT($A401)=0,"",IF(VLOOKUP($A401,'物料分类表 R22'!$B$2:$H$1090,D$3*2,FALSE)=0,D400,VLOOKUP($A401,'物料分类表 R22'!$B$2:$H$1090,D$3*2,FALSE)))</f>
        <v/>
      </c>
      <c r="E401" s="1" t="str">
        <f t="shared" si="19"/>
        <v/>
      </c>
      <c r="F401" s="1" t="str">
        <f t="shared" si="20"/>
        <v/>
      </c>
      <c r="G401" s="1" t="str">
        <f t="shared" si="21"/>
        <v/>
      </c>
    </row>
    <row r="402" customHeight="1" spans="1:7">
      <c r="A402" s="1" t="str">
        <f>IF(MAX($A$2:A401)=$B$1,"",MAX($A$2:A401)+1)</f>
        <v/>
      </c>
      <c r="B402" s="2" t="str">
        <f>IF(COUNT($A402)=0,"",VLOOKUP($A402,'物料分类表 R22'!$B$2:$H$1090,C402*2,FALSE))</f>
        <v/>
      </c>
      <c r="C402" s="2" t="e">
        <f>SUMIFS('物料分类表 R22'!#REF!,'物料分类表 R22'!$B$2:$B$1090,A402)</f>
        <v>#REF!</v>
      </c>
      <c r="D402" s="2" t="str">
        <f>IF(COUNT($A402)=0,"",IF(VLOOKUP($A402,'物料分类表 R22'!$B$2:$H$1090,D$3*2,FALSE)=0,D401,VLOOKUP($A402,'物料分类表 R22'!$B$2:$H$1090,D$3*2,FALSE)))</f>
        <v/>
      </c>
      <c r="E402" s="1" t="str">
        <f t="shared" si="19"/>
        <v/>
      </c>
      <c r="F402" s="1" t="str">
        <f t="shared" si="20"/>
        <v/>
      </c>
      <c r="G402" s="1" t="str">
        <f t="shared" si="21"/>
        <v/>
      </c>
    </row>
    <row r="403" customHeight="1" spans="1:7">
      <c r="A403" s="1" t="str">
        <f>IF(MAX($A$2:A402)=$B$1,"",MAX($A$2:A402)+1)</f>
        <v/>
      </c>
      <c r="B403" s="2" t="str">
        <f>IF(COUNT($A403)=0,"",VLOOKUP($A403,'物料分类表 R22'!$B$2:$H$1090,C403*2,FALSE))</f>
        <v/>
      </c>
      <c r="C403" s="2" t="e">
        <f>SUMIFS('物料分类表 R22'!#REF!,'物料分类表 R22'!$B$2:$B$1090,A403)</f>
        <v>#REF!</v>
      </c>
      <c r="D403" s="2" t="str">
        <f>IF(COUNT($A403)=0,"",IF(VLOOKUP($A403,'物料分类表 R22'!$B$2:$H$1090,D$3*2,FALSE)=0,D402,VLOOKUP($A403,'物料分类表 R22'!$B$2:$H$1090,D$3*2,FALSE)))</f>
        <v/>
      </c>
      <c r="E403" s="1" t="str">
        <f t="shared" si="19"/>
        <v/>
      </c>
      <c r="F403" s="1" t="str">
        <f t="shared" si="20"/>
        <v/>
      </c>
      <c r="G403" s="1" t="str">
        <f t="shared" si="21"/>
        <v/>
      </c>
    </row>
    <row r="404" customHeight="1" spans="1:7">
      <c r="A404" s="1" t="str">
        <f>IF(MAX($A$2:A403)=$B$1,"",MAX($A$2:A403)+1)</f>
        <v/>
      </c>
      <c r="B404" s="2" t="str">
        <f>IF(COUNT($A404)=0,"",VLOOKUP($A404,'物料分类表 R22'!$B$2:$H$1090,C404*2,FALSE))</f>
        <v/>
      </c>
      <c r="C404" s="2" t="e">
        <f>SUMIFS('物料分类表 R22'!#REF!,'物料分类表 R22'!$B$2:$B$1090,A404)</f>
        <v>#REF!</v>
      </c>
      <c r="D404" s="2" t="str">
        <f>IF(COUNT($A404)=0,"",IF(VLOOKUP($A404,'物料分类表 R22'!$B$2:$H$1090,D$3*2,FALSE)=0,D403,VLOOKUP($A404,'物料分类表 R22'!$B$2:$H$1090,D$3*2,FALSE)))</f>
        <v/>
      </c>
      <c r="E404" s="1" t="str">
        <f t="shared" si="19"/>
        <v/>
      </c>
      <c r="F404" s="1" t="str">
        <f t="shared" si="20"/>
        <v/>
      </c>
      <c r="G404" s="1" t="str">
        <f t="shared" si="21"/>
        <v/>
      </c>
    </row>
    <row r="405" customHeight="1" spans="1:7">
      <c r="A405" s="1" t="str">
        <f>IF(MAX($A$2:A404)=$B$1,"",MAX($A$2:A404)+1)</f>
        <v/>
      </c>
      <c r="B405" s="2" t="str">
        <f>IF(COUNT($A405)=0,"",VLOOKUP($A405,'物料分类表 R22'!$B$2:$H$1090,C405*2,FALSE))</f>
        <v/>
      </c>
      <c r="C405" s="2" t="e">
        <f>SUMIFS('物料分类表 R22'!#REF!,'物料分类表 R22'!$B$2:$B$1090,A405)</f>
        <v>#REF!</v>
      </c>
      <c r="D405" s="2" t="str">
        <f>IF(COUNT($A405)=0,"",IF(VLOOKUP($A405,'物料分类表 R22'!$B$2:$H$1090,D$3*2,FALSE)=0,D404,VLOOKUP($A405,'物料分类表 R22'!$B$2:$H$1090,D$3*2,FALSE)))</f>
        <v/>
      </c>
      <c r="E405" s="1" t="str">
        <f t="shared" si="19"/>
        <v/>
      </c>
      <c r="F405" s="1" t="str">
        <f t="shared" si="20"/>
        <v/>
      </c>
      <c r="G405" s="1" t="str">
        <f t="shared" si="21"/>
        <v/>
      </c>
    </row>
    <row r="406" customHeight="1" spans="1:7">
      <c r="A406" s="1" t="str">
        <f>IF(MAX($A$2:A405)=$B$1,"",MAX($A$2:A405)+1)</f>
        <v/>
      </c>
      <c r="B406" s="2" t="str">
        <f>IF(COUNT($A406)=0,"",VLOOKUP($A406,'物料分类表 R22'!$B$2:$H$1090,C406*2,FALSE))</f>
        <v/>
      </c>
      <c r="C406" s="2" t="e">
        <f>SUMIFS('物料分类表 R22'!#REF!,'物料分类表 R22'!$B$2:$B$1090,A406)</f>
        <v>#REF!</v>
      </c>
      <c r="D406" s="2" t="str">
        <f>IF(COUNT($A406)=0,"",IF(VLOOKUP($A406,'物料分类表 R22'!$B$2:$H$1090,D$3*2,FALSE)=0,D405,VLOOKUP($A406,'物料分类表 R22'!$B$2:$H$1090,D$3*2,FALSE)))</f>
        <v/>
      </c>
      <c r="E406" s="1" t="str">
        <f t="shared" si="19"/>
        <v/>
      </c>
      <c r="F406" s="1" t="str">
        <f t="shared" si="20"/>
        <v/>
      </c>
      <c r="G406" s="1" t="str">
        <f t="shared" si="21"/>
        <v/>
      </c>
    </row>
    <row r="407" customHeight="1" spans="1:7">
      <c r="A407" s="1" t="str">
        <f>IF(MAX($A$2:A406)=$B$1,"",MAX($A$2:A406)+1)</f>
        <v/>
      </c>
      <c r="B407" s="2" t="str">
        <f>IF(COUNT($A407)=0,"",VLOOKUP($A407,'物料分类表 R22'!$B$2:$H$1090,C407*2,FALSE))</f>
        <v/>
      </c>
      <c r="C407" s="2" t="e">
        <f>SUMIFS('物料分类表 R22'!#REF!,'物料分类表 R22'!$B$2:$B$1090,A407)</f>
        <v>#REF!</v>
      </c>
      <c r="D407" s="2" t="str">
        <f>IF(COUNT($A407)=0,"",IF(VLOOKUP($A407,'物料分类表 R22'!$B$2:$H$1090,D$3*2,FALSE)=0,D406,VLOOKUP($A407,'物料分类表 R22'!$B$2:$H$1090,D$3*2,FALSE)))</f>
        <v/>
      </c>
      <c r="E407" s="1" t="str">
        <f t="shared" si="19"/>
        <v/>
      </c>
      <c r="F407" s="1" t="str">
        <f t="shared" si="20"/>
        <v/>
      </c>
      <c r="G407" s="1" t="str">
        <f t="shared" si="21"/>
        <v/>
      </c>
    </row>
    <row r="408" customHeight="1" spans="1:7">
      <c r="A408" s="1" t="str">
        <f>IF(MAX($A$2:A407)=$B$1,"",MAX($A$2:A407)+1)</f>
        <v/>
      </c>
      <c r="B408" s="2" t="str">
        <f>IF(COUNT($A408)=0,"",VLOOKUP($A408,'物料分类表 R22'!$B$2:$H$1090,C408*2,FALSE))</f>
        <v/>
      </c>
      <c r="C408" s="2" t="e">
        <f>SUMIFS('物料分类表 R22'!#REF!,'物料分类表 R22'!$B$2:$B$1090,A408)</f>
        <v>#REF!</v>
      </c>
      <c r="D408" s="2" t="str">
        <f>IF(COUNT($A408)=0,"",IF(VLOOKUP($A408,'物料分类表 R22'!$B$2:$H$1090,D$3*2,FALSE)=0,D407,VLOOKUP($A408,'物料分类表 R22'!$B$2:$H$1090,D$3*2,FALSE)))</f>
        <v/>
      </c>
      <c r="E408" s="1" t="str">
        <f t="shared" si="19"/>
        <v/>
      </c>
      <c r="F408" s="1" t="str">
        <f t="shared" si="20"/>
        <v/>
      </c>
      <c r="G408" s="1" t="str">
        <f t="shared" si="21"/>
        <v/>
      </c>
    </row>
    <row r="409" customHeight="1" spans="1:7">
      <c r="A409" s="1" t="str">
        <f>IF(MAX($A$2:A408)=$B$1,"",MAX($A$2:A408)+1)</f>
        <v/>
      </c>
      <c r="B409" s="2" t="str">
        <f>IF(COUNT($A409)=0,"",VLOOKUP($A409,'物料分类表 R22'!$B$2:$H$1090,C409*2,FALSE))</f>
        <v/>
      </c>
      <c r="C409" s="2" t="e">
        <f>SUMIFS('物料分类表 R22'!#REF!,'物料分类表 R22'!$B$2:$B$1090,A409)</f>
        <v>#REF!</v>
      </c>
      <c r="D409" s="2" t="str">
        <f>IF(COUNT($A409)=0,"",IF(VLOOKUP($A409,'物料分类表 R22'!$B$2:$H$1090,D$3*2,FALSE)=0,D408,VLOOKUP($A409,'物料分类表 R22'!$B$2:$H$1090,D$3*2,FALSE)))</f>
        <v/>
      </c>
      <c r="E409" s="1" t="str">
        <f t="shared" si="19"/>
        <v/>
      </c>
      <c r="F409" s="1" t="str">
        <f t="shared" si="20"/>
        <v/>
      </c>
      <c r="G409" s="1" t="str">
        <f t="shared" si="21"/>
        <v/>
      </c>
    </row>
    <row r="410" customHeight="1" spans="1:7">
      <c r="A410" s="1" t="str">
        <f>IF(MAX($A$2:A409)=$B$1,"",MAX($A$2:A409)+1)</f>
        <v/>
      </c>
      <c r="B410" s="2" t="str">
        <f>IF(COUNT($A410)=0,"",VLOOKUP($A410,'物料分类表 R22'!$B$2:$H$1090,C410*2,FALSE))</f>
        <v/>
      </c>
      <c r="C410" s="2" t="e">
        <f>SUMIFS('物料分类表 R22'!#REF!,'物料分类表 R22'!$B$2:$B$1090,A410)</f>
        <v>#REF!</v>
      </c>
      <c r="D410" s="2" t="str">
        <f>IF(COUNT($A410)=0,"",IF(VLOOKUP($A410,'物料分类表 R22'!$B$2:$H$1090,D$3*2,FALSE)=0,D409,VLOOKUP($A410,'物料分类表 R22'!$B$2:$H$1090,D$3*2,FALSE)))</f>
        <v/>
      </c>
      <c r="E410" s="1" t="str">
        <f t="shared" si="19"/>
        <v/>
      </c>
      <c r="F410" s="1" t="str">
        <f t="shared" si="20"/>
        <v/>
      </c>
      <c r="G410" s="1" t="str">
        <f t="shared" si="21"/>
        <v/>
      </c>
    </row>
    <row r="411" customHeight="1" spans="1:7">
      <c r="A411" s="1" t="str">
        <f>IF(MAX($A$2:A410)=$B$1,"",MAX($A$2:A410)+1)</f>
        <v/>
      </c>
      <c r="B411" s="2" t="str">
        <f>IF(COUNT($A411)=0,"",VLOOKUP($A411,'物料分类表 R22'!$B$2:$H$1090,C411*2,FALSE))</f>
        <v/>
      </c>
      <c r="C411" s="2" t="e">
        <f>SUMIFS('物料分类表 R22'!#REF!,'物料分类表 R22'!$B$2:$B$1090,A411)</f>
        <v>#REF!</v>
      </c>
      <c r="D411" s="2" t="str">
        <f>IF(COUNT($A411)=0,"",IF(VLOOKUP($A411,'物料分类表 R22'!$B$2:$H$1090,D$3*2,FALSE)=0,D410,VLOOKUP($A411,'物料分类表 R22'!$B$2:$H$1090,D$3*2,FALSE)))</f>
        <v/>
      </c>
      <c r="E411" s="1" t="str">
        <f t="shared" si="19"/>
        <v/>
      </c>
      <c r="F411" s="1" t="str">
        <f t="shared" si="20"/>
        <v/>
      </c>
      <c r="G411" s="1" t="str">
        <f t="shared" si="21"/>
        <v/>
      </c>
    </row>
    <row r="412" customHeight="1" spans="1:7">
      <c r="A412" s="1" t="str">
        <f>IF(MAX($A$2:A411)=$B$1,"",MAX($A$2:A411)+1)</f>
        <v/>
      </c>
      <c r="B412" s="2" t="str">
        <f>IF(COUNT($A412)=0,"",VLOOKUP($A412,'物料分类表 R22'!$B$2:$H$1090,C412*2,FALSE))</f>
        <v/>
      </c>
      <c r="C412" s="2" t="e">
        <f>SUMIFS('物料分类表 R22'!#REF!,'物料分类表 R22'!$B$2:$B$1090,A412)</f>
        <v>#REF!</v>
      </c>
      <c r="D412" s="2" t="str">
        <f>IF(COUNT($A412)=0,"",IF(VLOOKUP($A412,'物料分类表 R22'!$B$2:$H$1090,D$3*2,FALSE)=0,D411,VLOOKUP($A412,'物料分类表 R22'!$B$2:$H$1090,D$3*2,FALSE)))</f>
        <v/>
      </c>
      <c r="E412" s="1" t="str">
        <f t="shared" si="19"/>
        <v/>
      </c>
      <c r="F412" s="1" t="str">
        <f t="shared" si="20"/>
        <v/>
      </c>
      <c r="G412" s="1" t="str">
        <f t="shared" si="21"/>
        <v/>
      </c>
    </row>
    <row r="413" customHeight="1" spans="1:7">
      <c r="A413" s="1" t="str">
        <f>IF(MAX($A$2:A412)=$B$1,"",MAX($A$2:A412)+1)</f>
        <v/>
      </c>
      <c r="B413" s="2" t="str">
        <f>IF(COUNT($A413)=0,"",VLOOKUP($A413,'物料分类表 R22'!$B$2:$H$1090,C413*2,FALSE))</f>
        <v/>
      </c>
      <c r="C413" s="2" t="e">
        <f>SUMIFS('物料分类表 R22'!#REF!,'物料分类表 R22'!$B$2:$B$1090,A413)</f>
        <v>#REF!</v>
      </c>
      <c r="D413" s="2" t="str">
        <f>IF(COUNT($A413)=0,"",IF(VLOOKUP($A413,'物料分类表 R22'!$B$2:$H$1090,D$3*2,FALSE)=0,D412,VLOOKUP($A413,'物料分类表 R22'!$B$2:$H$1090,D$3*2,FALSE)))</f>
        <v/>
      </c>
      <c r="E413" s="1" t="str">
        <f t="shared" si="19"/>
        <v/>
      </c>
      <c r="F413" s="1" t="str">
        <f t="shared" si="20"/>
        <v/>
      </c>
      <c r="G413" s="1" t="str">
        <f t="shared" si="21"/>
        <v/>
      </c>
    </row>
    <row r="414" customHeight="1" spans="1:7">
      <c r="A414" s="1" t="str">
        <f>IF(MAX($A$2:A413)=$B$1,"",MAX($A$2:A413)+1)</f>
        <v/>
      </c>
      <c r="B414" s="2" t="str">
        <f>IF(COUNT($A414)=0,"",VLOOKUP($A414,'物料分类表 R22'!$B$2:$H$1090,C414*2,FALSE))</f>
        <v/>
      </c>
      <c r="C414" s="2" t="e">
        <f>SUMIFS('物料分类表 R22'!#REF!,'物料分类表 R22'!$B$2:$B$1090,A414)</f>
        <v>#REF!</v>
      </c>
      <c r="D414" s="2" t="str">
        <f>IF(COUNT($A414)=0,"",IF(VLOOKUP($A414,'物料分类表 R22'!$B$2:$H$1090,D$3*2,FALSE)=0,D413,VLOOKUP($A414,'物料分类表 R22'!$B$2:$H$1090,D$3*2,FALSE)))</f>
        <v/>
      </c>
      <c r="E414" s="1" t="str">
        <f t="shared" si="19"/>
        <v/>
      </c>
      <c r="F414" s="1" t="str">
        <f t="shared" si="20"/>
        <v/>
      </c>
      <c r="G414" s="1" t="str">
        <f t="shared" si="21"/>
        <v/>
      </c>
    </row>
    <row r="415" customHeight="1" spans="1:7">
      <c r="A415" s="1" t="str">
        <f>IF(MAX($A$2:A414)=$B$1,"",MAX($A$2:A414)+1)</f>
        <v/>
      </c>
      <c r="B415" s="2" t="str">
        <f>IF(COUNT($A415)=0,"",VLOOKUP($A415,'物料分类表 R22'!$B$2:$H$1090,C415*2,FALSE))</f>
        <v/>
      </c>
      <c r="C415" s="2" t="e">
        <f>SUMIFS('物料分类表 R22'!#REF!,'物料分类表 R22'!$B$2:$B$1090,A415)</f>
        <v>#REF!</v>
      </c>
      <c r="D415" s="2" t="str">
        <f>IF(COUNT($A415)=0,"",IF(VLOOKUP($A415,'物料分类表 R22'!$B$2:$H$1090,D$3*2,FALSE)=0,D414,VLOOKUP($A415,'物料分类表 R22'!$B$2:$H$1090,D$3*2,FALSE)))</f>
        <v/>
      </c>
      <c r="E415" s="1" t="str">
        <f t="shared" si="19"/>
        <v/>
      </c>
      <c r="F415" s="1" t="str">
        <f t="shared" si="20"/>
        <v/>
      </c>
      <c r="G415" s="1" t="str">
        <f t="shared" si="21"/>
        <v/>
      </c>
    </row>
    <row r="416" customHeight="1" spans="1:7">
      <c r="A416" s="1" t="str">
        <f>IF(MAX($A$2:A415)=$B$1,"",MAX($A$2:A415)+1)</f>
        <v/>
      </c>
      <c r="B416" s="2" t="str">
        <f>IF(COUNT($A416)=0,"",VLOOKUP($A416,'物料分类表 R22'!$B$2:$H$1090,C416*2,FALSE))</f>
        <v/>
      </c>
      <c r="C416" s="2" t="e">
        <f>SUMIFS('物料分类表 R22'!#REF!,'物料分类表 R22'!$B$2:$B$1090,A416)</f>
        <v>#REF!</v>
      </c>
      <c r="D416" s="2" t="str">
        <f>IF(COUNT($A416)=0,"",IF(VLOOKUP($A416,'物料分类表 R22'!$B$2:$H$1090,D$3*2,FALSE)=0,D415,VLOOKUP($A416,'物料分类表 R22'!$B$2:$H$1090,D$3*2,FALSE)))</f>
        <v/>
      </c>
      <c r="E416" s="1" t="str">
        <f t="shared" si="19"/>
        <v/>
      </c>
      <c r="F416" s="1" t="str">
        <f t="shared" si="20"/>
        <v/>
      </c>
      <c r="G416" s="1" t="str">
        <f t="shared" si="21"/>
        <v/>
      </c>
    </row>
    <row r="417" customHeight="1" spans="1:7">
      <c r="A417" s="1" t="str">
        <f>IF(MAX($A$2:A416)=$B$1,"",MAX($A$2:A416)+1)</f>
        <v/>
      </c>
      <c r="B417" s="2" t="str">
        <f>IF(COUNT($A417)=0,"",VLOOKUP($A417,'物料分类表 R22'!$B$2:$H$1090,C417*2,FALSE))</f>
        <v/>
      </c>
      <c r="C417" s="2" t="e">
        <f>SUMIFS('物料分类表 R22'!#REF!,'物料分类表 R22'!$B$2:$B$1090,A417)</f>
        <v>#REF!</v>
      </c>
      <c r="D417" s="2" t="str">
        <f>IF(COUNT($A417)=0,"",IF(VLOOKUP($A417,'物料分类表 R22'!$B$2:$H$1090,D$3*2,FALSE)=0,D416,VLOOKUP($A417,'物料分类表 R22'!$B$2:$H$1090,D$3*2,FALSE)))</f>
        <v/>
      </c>
      <c r="E417" s="1" t="str">
        <f t="shared" si="19"/>
        <v/>
      </c>
      <c r="F417" s="1" t="str">
        <f t="shared" si="20"/>
        <v/>
      </c>
      <c r="G417" s="1" t="str">
        <f t="shared" si="21"/>
        <v/>
      </c>
    </row>
    <row r="418" customHeight="1" spans="1:7">
      <c r="A418" s="1" t="str">
        <f>IF(MAX($A$2:A417)=$B$1,"",MAX($A$2:A417)+1)</f>
        <v/>
      </c>
      <c r="B418" s="2" t="str">
        <f>IF(COUNT($A418)=0,"",VLOOKUP($A418,'物料分类表 R22'!$B$2:$H$1090,C418*2,FALSE))</f>
        <v/>
      </c>
      <c r="C418" s="2" t="e">
        <f>SUMIFS('物料分类表 R22'!#REF!,'物料分类表 R22'!$B$2:$B$1090,A418)</f>
        <v>#REF!</v>
      </c>
      <c r="D418" s="2" t="str">
        <f>IF(COUNT($A418)=0,"",IF(VLOOKUP($A418,'物料分类表 R22'!$B$2:$H$1090,D$3*2,FALSE)=0,D417,VLOOKUP($A418,'物料分类表 R22'!$B$2:$H$1090,D$3*2,FALSE)))</f>
        <v/>
      </c>
      <c r="E418" s="1" t="str">
        <f t="shared" si="19"/>
        <v/>
      </c>
      <c r="F418" s="1" t="str">
        <f t="shared" si="20"/>
        <v/>
      </c>
      <c r="G418" s="1" t="str">
        <f t="shared" si="21"/>
        <v/>
      </c>
    </row>
    <row r="419" customHeight="1" spans="1:7">
      <c r="A419" s="1" t="str">
        <f>IF(MAX($A$2:A418)=$B$1,"",MAX($A$2:A418)+1)</f>
        <v/>
      </c>
      <c r="B419" s="2" t="str">
        <f>IF(COUNT($A419)=0,"",VLOOKUP($A419,'物料分类表 R22'!$B$2:$H$1090,C419*2,FALSE))</f>
        <v/>
      </c>
      <c r="C419" s="2" t="e">
        <f>SUMIFS('物料分类表 R22'!#REF!,'物料分类表 R22'!$B$2:$B$1090,A419)</f>
        <v>#REF!</v>
      </c>
      <c r="D419" s="2" t="str">
        <f>IF(COUNT($A419)=0,"",IF(VLOOKUP($A419,'物料分类表 R22'!$B$2:$H$1090,D$3*2,FALSE)=0,D418,VLOOKUP($A419,'物料分类表 R22'!$B$2:$H$1090,D$3*2,FALSE)))</f>
        <v/>
      </c>
      <c r="E419" s="1" t="str">
        <f t="shared" si="19"/>
        <v/>
      </c>
      <c r="F419" s="1" t="str">
        <f t="shared" si="20"/>
        <v/>
      </c>
      <c r="G419" s="1" t="str">
        <f t="shared" si="21"/>
        <v/>
      </c>
    </row>
    <row r="420" customHeight="1" spans="1:7">
      <c r="A420" s="1" t="str">
        <f>IF(MAX($A$2:A419)=$B$1,"",MAX($A$2:A419)+1)</f>
        <v/>
      </c>
      <c r="B420" s="2" t="str">
        <f>IF(COUNT($A420)=0,"",VLOOKUP($A420,'物料分类表 R22'!$B$2:$H$1090,C420*2,FALSE))</f>
        <v/>
      </c>
      <c r="C420" s="2" t="e">
        <f>SUMIFS('物料分类表 R22'!#REF!,'物料分类表 R22'!$B$2:$B$1090,A420)</f>
        <v>#REF!</v>
      </c>
      <c r="D420" s="2" t="str">
        <f>IF(COUNT($A420)=0,"",IF(VLOOKUP($A420,'物料分类表 R22'!$B$2:$H$1090,D$3*2,FALSE)=0,D419,VLOOKUP($A420,'物料分类表 R22'!$B$2:$H$1090,D$3*2,FALSE)))</f>
        <v/>
      </c>
      <c r="E420" s="1" t="str">
        <f t="shared" si="19"/>
        <v/>
      </c>
      <c r="F420" s="1" t="str">
        <f t="shared" si="20"/>
        <v/>
      </c>
      <c r="G420" s="1" t="str">
        <f t="shared" si="21"/>
        <v/>
      </c>
    </row>
    <row r="421" customHeight="1" spans="1:7">
      <c r="A421" s="1" t="str">
        <f>IF(MAX($A$2:A420)=$B$1,"",MAX($A$2:A420)+1)</f>
        <v/>
      </c>
      <c r="B421" s="2" t="str">
        <f>IF(COUNT($A421)=0,"",VLOOKUP($A421,'物料分类表 R22'!$B$2:$H$1090,C421*2,FALSE))</f>
        <v/>
      </c>
      <c r="C421" s="2" t="e">
        <f>SUMIFS('物料分类表 R22'!#REF!,'物料分类表 R22'!$B$2:$B$1090,A421)</f>
        <v>#REF!</v>
      </c>
      <c r="D421" s="2" t="str">
        <f>IF(COUNT($A421)=0,"",IF(VLOOKUP($A421,'物料分类表 R22'!$B$2:$H$1090,D$3*2,FALSE)=0,D420,VLOOKUP($A421,'物料分类表 R22'!$B$2:$H$1090,D$3*2,FALSE)))</f>
        <v/>
      </c>
      <c r="E421" s="1" t="str">
        <f t="shared" si="19"/>
        <v/>
      </c>
      <c r="F421" s="1" t="str">
        <f t="shared" si="20"/>
        <v/>
      </c>
      <c r="G421" s="1" t="str">
        <f t="shared" si="21"/>
        <v/>
      </c>
    </row>
    <row r="422" customHeight="1" spans="1:7">
      <c r="A422" s="1" t="str">
        <f>IF(MAX($A$2:A421)=$B$1,"",MAX($A$2:A421)+1)</f>
        <v/>
      </c>
      <c r="B422" s="2" t="str">
        <f>IF(COUNT($A422)=0,"",VLOOKUP($A422,'物料分类表 R22'!$B$2:$H$1090,C422*2,FALSE))</f>
        <v/>
      </c>
      <c r="C422" s="2" t="e">
        <f>SUMIFS('物料分类表 R22'!#REF!,'物料分类表 R22'!$B$2:$B$1090,A422)</f>
        <v>#REF!</v>
      </c>
      <c r="D422" s="2" t="str">
        <f>IF(COUNT($A422)=0,"",IF(VLOOKUP($A422,'物料分类表 R22'!$B$2:$H$1090,D$3*2,FALSE)=0,D421,VLOOKUP($A422,'物料分类表 R22'!$B$2:$H$1090,D$3*2,FALSE)))</f>
        <v/>
      </c>
      <c r="E422" s="1" t="str">
        <f t="shared" si="19"/>
        <v/>
      </c>
      <c r="F422" s="1" t="str">
        <f t="shared" si="20"/>
        <v/>
      </c>
      <c r="G422" s="1" t="str">
        <f t="shared" si="21"/>
        <v/>
      </c>
    </row>
    <row r="423" customHeight="1" spans="1:7">
      <c r="A423" s="1" t="str">
        <f>IF(MAX($A$2:A422)=$B$1,"",MAX($A$2:A422)+1)</f>
        <v/>
      </c>
      <c r="B423" s="2" t="str">
        <f>IF(COUNT($A423)=0,"",VLOOKUP($A423,'物料分类表 R22'!$B$2:$H$1090,C423*2,FALSE))</f>
        <v/>
      </c>
      <c r="C423" s="2" t="e">
        <f>SUMIFS('物料分类表 R22'!#REF!,'物料分类表 R22'!$B$2:$B$1090,A423)</f>
        <v>#REF!</v>
      </c>
      <c r="D423" s="2" t="str">
        <f>IF(COUNT($A423)=0,"",IF(VLOOKUP($A423,'物料分类表 R22'!$B$2:$H$1090,D$3*2,FALSE)=0,D422,VLOOKUP($A423,'物料分类表 R22'!$B$2:$H$1090,D$3*2,FALSE)))</f>
        <v/>
      </c>
      <c r="E423" s="1" t="str">
        <f t="shared" si="19"/>
        <v/>
      </c>
      <c r="F423" s="1" t="str">
        <f t="shared" si="20"/>
        <v/>
      </c>
      <c r="G423" s="1" t="str">
        <f t="shared" si="21"/>
        <v/>
      </c>
    </row>
    <row r="424" customHeight="1" spans="1:7">
      <c r="A424" s="1" t="str">
        <f>IF(MAX($A$2:A423)=$B$1,"",MAX($A$2:A423)+1)</f>
        <v/>
      </c>
      <c r="B424" s="2" t="str">
        <f>IF(COUNT($A424)=0,"",VLOOKUP($A424,'物料分类表 R22'!$B$2:$H$1090,C424*2,FALSE))</f>
        <v/>
      </c>
      <c r="C424" s="2" t="e">
        <f>SUMIFS('物料分类表 R22'!#REF!,'物料分类表 R22'!$B$2:$B$1090,A424)</f>
        <v>#REF!</v>
      </c>
      <c r="D424" s="2" t="str">
        <f>IF(COUNT($A424)=0,"",IF(VLOOKUP($A424,'物料分类表 R22'!$B$2:$H$1090,D$3*2,FALSE)=0,D423,VLOOKUP($A424,'物料分类表 R22'!$B$2:$H$1090,D$3*2,FALSE)))</f>
        <v/>
      </c>
      <c r="E424" s="1" t="str">
        <f t="shared" si="19"/>
        <v/>
      </c>
      <c r="F424" s="1" t="str">
        <f t="shared" si="20"/>
        <v/>
      </c>
      <c r="G424" s="1" t="str">
        <f t="shared" si="21"/>
        <v/>
      </c>
    </row>
    <row r="425" customHeight="1" spans="1:7">
      <c r="A425" s="1" t="str">
        <f>IF(MAX($A$2:A424)=$B$1,"",MAX($A$2:A424)+1)</f>
        <v/>
      </c>
      <c r="B425" s="2" t="str">
        <f>IF(COUNT($A425)=0,"",VLOOKUP($A425,'物料分类表 R22'!$B$2:$H$1090,C425*2,FALSE))</f>
        <v/>
      </c>
      <c r="C425" s="2" t="e">
        <f>SUMIFS('物料分类表 R22'!#REF!,'物料分类表 R22'!$B$2:$B$1090,A425)</f>
        <v>#REF!</v>
      </c>
      <c r="D425" s="2" t="str">
        <f>IF(COUNT($A425)=0,"",IF(VLOOKUP($A425,'物料分类表 R22'!$B$2:$H$1090,D$3*2,FALSE)=0,D424,VLOOKUP($A425,'物料分类表 R22'!$B$2:$H$1090,D$3*2,FALSE)))</f>
        <v/>
      </c>
      <c r="E425" s="1" t="str">
        <f t="shared" si="19"/>
        <v/>
      </c>
      <c r="F425" s="1" t="str">
        <f t="shared" si="20"/>
        <v/>
      </c>
      <c r="G425" s="1" t="str">
        <f t="shared" si="21"/>
        <v/>
      </c>
    </row>
    <row r="426" customHeight="1" spans="1:7">
      <c r="A426" s="1" t="str">
        <f>IF(MAX($A$2:A425)=$B$1,"",MAX($A$2:A425)+1)</f>
        <v/>
      </c>
      <c r="B426" s="2" t="str">
        <f>IF(COUNT($A426)=0,"",VLOOKUP($A426,'物料分类表 R22'!$B$2:$H$1090,C426*2,FALSE))</f>
        <v/>
      </c>
      <c r="C426" s="2" t="e">
        <f>SUMIFS('物料分类表 R22'!#REF!,'物料分类表 R22'!$B$2:$B$1090,A426)</f>
        <v>#REF!</v>
      </c>
      <c r="D426" s="2" t="str">
        <f>IF(COUNT($A426)=0,"",IF(VLOOKUP($A426,'物料分类表 R22'!$B$2:$H$1090,D$3*2,FALSE)=0,D425,VLOOKUP($A426,'物料分类表 R22'!$B$2:$H$1090,D$3*2,FALSE)))</f>
        <v/>
      </c>
      <c r="E426" s="1" t="str">
        <f t="shared" si="19"/>
        <v/>
      </c>
      <c r="F426" s="1" t="str">
        <f t="shared" si="20"/>
        <v/>
      </c>
      <c r="G426" s="1" t="str">
        <f t="shared" si="21"/>
        <v/>
      </c>
    </row>
    <row r="427" customHeight="1" spans="1:7">
      <c r="A427" s="1" t="str">
        <f>IF(MAX($A$2:A426)=$B$1,"",MAX($A$2:A426)+1)</f>
        <v/>
      </c>
      <c r="B427" s="2" t="str">
        <f>IF(COUNT($A427)=0,"",VLOOKUP($A427,'物料分类表 R22'!$B$2:$H$1090,C427*2,FALSE))</f>
        <v/>
      </c>
      <c r="C427" s="2" t="e">
        <f>SUMIFS('物料分类表 R22'!#REF!,'物料分类表 R22'!$B$2:$B$1090,A427)</f>
        <v>#REF!</v>
      </c>
      <c r="D427" s="2" t="str">
        <f>IF(COUNT($A427)=0,"",IF(VLOOKUP($A427,'物料分类表 R22'!$B$2:$H$1090,D$3*2,FALSE)=0,D426,VLOOKUP($A427,'物料分类表 R22'!$B$2:$H$1090,D$3*2,FALSE)))</f>
        <v/>
      </c>
      <c r="E427" s="1" t="str">
        <f t="shared" ref="E427:E490" si="22">IF(COUNT($A427)=0,"",VLOOKUP(MID($D427,1,1),$P:$Q,2,FALSE))</f>
        <v/>
      </c>
      <c r="F427" s="1" t="str">
        <f t="shared" ref="F427:F490" si="23">IF(COUNT($A427)=0,"",VLOOKUP(MID($D427,1,2),$P:$Q,2,FALSE))</f>
        <v/>
      </c>
      <c r="G427" s="1" t="str">
        <f t="shared" ref="G427:G490" si="24">IF(COUNT($A427)=0,"",IF(C427=4,IF(COUNT($A427)=0,"",VLOOKUP(MID($D427,1,3),$P:$Q,2,FALSE)),""))</f>
        <v/>
      </c>
    </row>
    <row r="428" customHeight="1" spans="1:7">
      <c r="A428" s="1" t="str">
        <f>IF(MAX($A$2:A427)=$B$1,"",MAX($A$2:A427)+1)</f>
        <v/>
      </c>
      <c r="B428" s="2" t="str">
        <f>IF(COUNT($A428)=0,"",VLOOKUP($A428,'物料分类表 R22'!$B$2:$H$1090,C428*2,FALSE))</f>
        <v/>
      </c>
      <c r="C428" s="2" t="e">
        <f>SUMIFS('物料分类表 R22'!#REF!,'物料分类表 R22'!$B$2:$B$1090,A428)</f>
        <v>#REF!</v>
      </c>
      <c r="D428" s="2" t="str">
        <f>IF(COUNT($A428)=0,"",IF(VLOOKUP($A428,'物料分类表 R22'!$B$2:$H$1090,D$3*2,FALSE)=0,D427,VLOOKUP($A428,'物料分类表 R22'!$B$2:$H$1090,D$3*2,FALSE)))</f>
        <v/>
      </c>
      <c r="E428" s="1" t="str">
        <f t="shared" si="22"/>
        <v/>
      </c>
      <c r="F428" s="1" t="str">
        <f t="shared" si="23"/>
        <v/>
      </c>
      <c r="G428" s="1" t="str">
        <f t="shared" si="24"/>
        <v/>
      </c>
    </row>
    <row r="429" customHeight="1" spans="1:7">
      <c r="A429" s="1" t="str">
        <f>IF(MAX($A$2:A428)=$B$1,"",MAX($A$2:A428)+1)</f>
        <v/>
      </c>
      <c r="B429" s="2" t="str">
        <f>IF(COUNT($A429)=0,"",VLOOKUP($A429,'物料分类表 R22'!$B$2:$H$1090,C429*2,FALSE))</f>
        <v/>
      </c>
      <c r="C429" s="2" t="e">
        <f>SUMIFS('物料分类表 R22'!#REF!,'物料分类表 R22'!$B$2:$B$1090,A429)</f>
        <v>#REF!</v>
      </c>
      <c r="D429" s="2" t="str">
        <f>IF(COUNT($A429)=0,"",IF(VLOOKUP($A429,'物料分类表 R22'!$B$2:$H$1090,D$3*2,FALSE)=0,D428,VLOOKUP($A429,'物料分类表 R22'!$B$2:$H$1090,D$3*2,FALSE)))</f>
        <v/>
      </c>
      <c r="E429" s="1" t="str">
        <f t="shared" si="22"/>
        <v/>
      </c>
      <c r="F429" s="1" t="str">
        <f t="shared" si="23"/>
        <v/>
      </c>
      <c r="G429" s="1" t="str">
        <f t="shared" si="24"/>
        <v/>
      </c>
    </row>
    <row r="430" customHeight="1" spans="1:7">
      <c r="A430" s="1" t="str">
        <f>IF(MAX($A$2:A429)=$B$1,"",MAX($A$2:A429)+1)</f>
        <v/>
      </c>
      <c r="B430" s="2" t="str">
        <f>IF(COUNT($A430)=0,"",VLOOKUP($A430,'物料分类表 R22'!$B$2:$H$1090,C430*2,FALSE))</f>
        <v/>
      </c>
      <c r="C430" s="2" t="e">
        <f>SUMIFS('物料分类表 R22'!#REF!,'物料分类表 R22'!$B$2:$B$1090,A430)</f>
        <v>#REF!</v>
      </c>
      <c r="D430" s="2" t="str">
        <f>IF(COUNT($A430)=0,"",IF(VLOOKUP($A430,'物料分类表 R22'!$B$2:$H$1090,D$3*2,FALSE)=0,D429,VLOOKUP($A430,'物料分类表 R22'!$B$2:$H$1090,D$3*2,FALSE)))</f>
        <v/>
      </c>
      <c r="E430" s="1" t="str">
        <f t="shared" si="22"/>
        <v/>
      </c>
      <c r="F430" s="1" t="str">
        <f t="shared" si="23"/>
        <v/>
      </c>
      <c r="G430" s="1" t="str">
        <f t="shared" si="24"/>
        <v/>
      </c>
    </row>
    <row r="431" customHeight="1" spans="1:7">
      <c r="A431" s="1" t="str">
        <f>IF(MAX($A$2:A430)=$B$1,"",MAX($A$2:A430)+1)</f>
        <v/>
      </c>
      <c r="B431" s="2" t="str">
        <f>IF(COUNT($A431)=0,"",VLOOKUP($A431,'物料分类表 R22'!$B$2:$H$1090,C431*2,FALSE))</f>
        <v/>
      </c>
      <c r="C431" s="2" t="e">
        <f>SUMIFS('物料分类表 R22'!#REF!,'物料分类表 R22'!$B$2:$B$1090,A431)</f>
        <v>#REF!</v>
      </c>
      <c r="D431" s="2" t="str">
        <f>IF(COUNT($A431)=0,"",IF(VLOOKUP($A431,'物料分类表 R22'!$B$2:$H$1090,D$3*2,FALSE)=0,D430,VLOOKUP($A431,'物料分类表 R22'!$B$2:$H$1090,D$3*2,FALSE)))</f>
        <v/>
      </c>
      <c r="E431" s="1" t="str">
        <f t="shared" si="22"/>
        <v/>
      </c>
      <c r="F431" s="1" t="str">
        <f t="shared" si="23"/>
        <v/>
      </c>
      <c r="G431" s="1" t="str">
        <f t="shared" si="24"/>
        <v/>
      </c>
    </row>
    <row r="432" customHeight="1" spans="1:7">
      <c r="A432" s="1" t="str">
        <f>IF(MAX($A$2:A431)=$B$1,"",MAX($A$2:A431)+1)</f>
        <v/>
      </c>
      <c r="B432" s="2" t="str">
        <f>IF(COUNT($A432)=0,"",VLOOKUP($A432,'物料分类表 R22'!$B$2:$H$1090,C432*2,FALSE))</f>
        <v/>
      </c>
      <c r="C432" s="2" t="e">
        <f>SUMIFS('物料分类表 R22'!#REF!,'物料分类表 R22'!$B$2:$B$1090,A432)</f>
        <v>#REF!</v>
      </c>
      <c r="D432" s="2" t="str">
        <f>IF(COUNT($A432)=0,"",IF(VLOOKUP($A432,'物料分类表 R22'!$B$2:$H$1090,D$3*2,FALSE)=0,D431,VLOOKUP($A432,'物料分类表 R22'!$B$2:$H$1090,D$3*2,FALSE)))</f>
        <v/>
      </c>
      <c r="E432" s="1" t="str">
        <f t="shared" si="22"/>
        <v/>
      </c>
      <c r="F432" s="1" t="str">
        <f t="shared" si="23"/>
        <v/>
      </c>
      <c r="G432" s="1" t="str">
        <f t="shared" si="24"/>
        <v/>
      </c>
    </row>
    <row r="433" customHeight="1" spans="1:7">
      <c r="A433" s="1" t="str">
        <f>IF(MAX($A$2:A432)=$B$1,"",MAX($A$2:A432)+1)</f>
        <v/>
      </c>
      <c r="B433" s="2" t="str">
        <f>IF(COUNT($A433)=0,"",VLOOKUP($A433,'物料分类表 R22'!$B$2:$H$1090,C433*2,FALSE))</f>
        <v/>
      </c>
      <c r="C433" s="2" t="e">
        <f>SUMIFS('物料分类表 R22'!#REF!,'物料分类表 R22'!$B$2:$B$1090,A433)</f>
        <v>#REF!</v>
      </c>
      <c r="D433" s="2" t="str">
        <f>IF(COUNT($A433)=0,"",IF(VLOOKUP($A433,'物料分类表 R22'!$B$2:$H$1090,D$3*2,FALSE)=0,D432,VLOOKUP($A433,'物料分类表 R22'!$B$2:$H$1090,D$3*2,FALSE)))</f>
        <v/>
      </c>
      <c r="E433" s="1" t="str">
        <f t="shared" si="22"/>
        <v/>
      </c>
      <c r="F433" s="1" t="str">
        <f t="shared" si="23"/>
        <v/>
      </c>
      <c r="G433" s="1" t="str">
        <f t="shared" si="24"/>
        <v/>
      </c>
    </row>
    <row r="434" customHeight="1" spans="1:7">
      <c r="A434" s="1" t="str">
        <f>IF(MAX($A$2:A433)=$B$1,"",MAX($A$2:A433)+1)</f>
        <v/>
      </c>
      <c r="B434" s="2" t="str">
        <f>IF(COUNT($A434)=0,"",VLOOKUP($A434,'物料分类表 R22'!$B$2:$H$1090,C434*2,FALSE))</f>
        <v/>
      </c>
      <c r="C434" s="2" t="e">
        <f>SUMIFS('物料分类表 R22'!#REF!,'物料分类表 R22'!$B$2:$B$1090,A434)</f>
        <v>#REF!</v>
      </c>
      <c r="D434" s="2" t="str">
        <f>IF(COUNT($A434)=0,"",IF(VLOOKUP($A434,'物料分类表 R22'!$B$2:$H$1090,D$3*2,FALSE)=0,D433,VLOOKUP($A434,'物料分类表 R22'!$B$2:$H$1090,D$3*2,FALSE)))</f>
        <v/>
      </c>
      <c r="E434" s="1" t="str">
        <f t="shared" si="22"/>
        <v/>
      </c>
      <c r="F434" s="1" t="str">
        <f t="shared" si="23"/>
        <v/>
      </c>
      <c r="G434" s="1" t="str">
        <f t="shared" si="24"/>
        <v/>
      </c>
    </row>
    <row r="435" customHeight="1" spans="1:7">
      <c r="A435" s="1" t="str">
        <f>IF(MAX($A$2:A434)=$B$1,"",MAX($A$2:A434)+1)</f>
        <v/>
      </c>
      <c r="B435" s="2" t="str">
        <f>IF(COUNT($A435)=0,"",VLOOKUP($A435,'物料分类表 R22'!$B$2:$H$1090,C435*2,FALSE))</f>
        <v/>
      </c>
      <c r="C435" s="2" t="e">
        <f>SUMIFS('物料分类表 R22'!#REF!,'物料分类表 R22'!$B$2:$B$1090,A435)</f>
        <v>#REF!</v>
      </c>
      <c r="D435" s="2" t="str">
        <f>IF(COUNT($A435)=0,"",IF(VLOOKUP($A435,'物料分类表 R22'!$B$2:$H$1090,D$3*2,FALSE)=0,D434,VLOOKUP($A435,'物料分类表 R22'!$B$2:$H$1090,D$3*2,FALSE)))</f>
        <v/>
      </c>
      <c r="E435" s="1" t="str">
        <f t="shared" si="22"/>
        <v/>
      </c>
      <c r="F435" s="1" t="str">
        <f t="shared" si="23"/>
        <v/>
      </c>
      <c r="G435" s="1" t="str">
        <f t="shared" si="24"/>
        <v/>
      </c>
    </row>
    <row r="436" customHeight="1" spans="1:7">
      <c r="A436" s="1" t="str">
        <f>IF(MAX($A$2:A435)=$B$1,"",MAX($A$2:A435)+1)</f>
        <v/>
      </c>
      <c r="B436" s="2" t="str">
        <f>IF(COUNT($A436)=0,"",VLOOKUP($A436,'物料分类表 R22'!$B$2:$H$1090,C436*2,FALSE))</f>
        <v/>
      </c>
      <c r="C436" s="2" t="e">
        <f>SUMIFS('物料分类表 R22'!#REF!,'物料分类表 R22'!$B$2:$B$1090,A436)</f>
        <v>#REF!</v>
      </c>
      <c r="D436" s="2" t="str">
        <f>IF(COUNT($A436)=0,"",IF(VLOOKUP($A436,'物料分类表 R22'!$B$2:$H$1090,D$3*2,FALSE)=0,D435,VLOOKUP($A436,'物料分类表 R22'!$B$2:$H$1090,D$3*2,FALSE)))</f>
        <v/>
      </c>
      <c r="E436" s="1" t="str">
        <f t="shared" si="22"/>
        <v/>
      </c>
      <c r="F436" s="1" t="str">
        <f t="shared" si="23"/>
        <v/>
      </c>
      <c r="G436" s="1" t="str">
        <f t="shared" si="24"/>
        <v/>
      </c>
    </row>
    <row r="437" customHeight="1" spans="1:7">
      <c r="A437" s="1" t="str">
        <f>IF(MAX($A$2:A436)=$B$1,"",MAX($A$2:A436)+1)</f>
        <v/>
      </c>
      <c r="B437" s="2" t="str">
        <f>IF(COUNT($A437)=0,"",VLOOKUP($A437,'物料分类表 R22'!$B$2:$H$1090,C437*2,FALSE))</f>
        <v/>
      </c>
      <c r="C437" s="2" t="e">
        <f>SUMIFS('物料分类表 R22'!#REF!,'物料分类表 R22'!$B$2:$B$1090,A437)</f>
        <v>#REF!</v>
      </c>
      <c r="D437" s="2" t="str">
        <f>IF(COUNT($A437)=0,"",IF(VLOOKUP($A437,'物料分类表 R22'!$B$2:$H$1090,D$3*2,FALSE)=0,D436,VLOOKUP($A437,'物料分类表 R22'!$B$2:$H$1090,D$3*2,FALSE)))</f>
        <v/>
      </c>
      <c r="E437" s="1" t="str">
        <f t="shared" si="22"/>
        <v/>
      </c>
      <c r="F437" s="1" t="str">
        <f t="shared" si="23"/>
        <v/>
      </c>
      <c r="G437" s="1" t="str">
        <f t="shared" si="24"/>
        <v/>
      </c>
    </row>
    <row r="438" customHeight="1" spans="1:7">
      <c r="A438" s="1" t="str">
        <f>IF(MAX($A$2:A437)=$B$1,"",MAX($A$2:A437)+1)</f>
        <v/>
      </c>
      <c r="B438" s="2" t="str">
        <f>IF(COUNT($A438)=0,"",VLOOKUP($A438,'物料分类表 R22'!$B$2:$H$1090,C438*2,FALSE))</f>
        <v/>
      </c>
      <c r="C438" s="2" t="e">
        <f>SUMIFS('物料分类表 R22'!#REF!,'物料分类表 R22'!$B$2:$B$1090,A438)</f>
        <v>#REF!</v>
      </c>
      <c r="D438" s="2" t="str">
        <f>IF(COUNT($A438)=0,"",IF(VLOOKUP($A438,'物料分类表 R22'!$B$2:$H$1090,D$3*2,FALSE)=0,D437,VLOOKUP($A438,'物料分类表 R22'!$B$2:$H$1090,D$3*2,FALSE)))</f>
        <v/>
      </c>
      <c r="E438" s="1" t="str">
        <f t="shared" si="22"/>
        <v/>
      </c>
      <c r="F438" s="1" t="str">
        <f t="shared" si="23"/>
        <v/>
      </c>
      <c r="G438" s="1" t="str">
        <f t="shared" si="24"/>
        <v/>
      </c>
    </row>
    <row r="439" customHeight="1" spans="1:7">
      <c r="A439" s="1" t="str">
        <f>IF(MAX($A$2:A438)=$B$1,"",MAX($A$2:A438)+1)</f>
        <v/>
      </c>
      <c r="B439" s="2" t="str">
        <f>IF(COUNT($A439)=0,"",VLOOKUP($A439,'物料分类表 R22'!$B$2:$H$1090,C439*2,FALSE))</f>
        <v/>
      </c>
      <c r="C439" s="2" t="e">
        <f>SUMIFS('物料分类表 R22'!#REF!,'物料分类表 R22'!$B$2:$B$1090,A439)</f>
        <v>#REF!</v>
      </c>
      <c r="D439" s="2" t="str">
        <f>IF(COUNT($A439)=0,"",IF(VLOOKUP($A439,'物料分类表 R22'!$B$2:$H$1090,D$3*2,FALSE)=0,D438,VLOOKUP($A439,'物料分类表 R22'!$B$2:$H$1090,D$3*2,FALSE)))</f>
        <v/>
      </c>
      <c r="E439" s="1" t="str">
        <f t="shared" si="22"/>
        <v/>
      </c>
      <c r="F439" s="1" t="str">
        <f t="shared" si="23"/>
        <v/>
      </c>
      <c r="G439" s="1" t="str">
        <f t="shared" si="24"/>
        <v/>
      </c>
    </row>
    <row r="440" customHeight="1" spans="1:7">
      <c r="A440" s="1" t="str">
        <f>IF(MAX($A$2:A439)=$B$1,"",MAX($A$2:A439)+1)</f>
        <v/>
      </c>
      <c r="B440" s="2" t="str">
        <f>IF(COUNT($A440)=0,"",VLOOKUP($A440,'物料分类表 R22'!$B$2:$H$1090,C440*2,FALSE))</f>
        <v/>
      </c>
      <c r="C440" s="2" t="e">
        <f>SUMIFS('物料分类表 R22'!#REF!,'物料分类表 R22'!$B$2:$B$1090,A440)</f>
        <v>#REF!</v>
      </c>
      <c r="D440" s="2" t="str">
        <f>IF(COUNT($A440)=0,"",IF(VLOOKUP($A440,'物料分类表 R22'!$B$2:$H$1090,D$3*2,FALSE)=0,D439,VLOOKUP($A440,'物料分类表 R22'!$B$2:$H$1090,D$3*2,FALSE)))</f>
        <v/>
      </c>
      <c r="E440" s="1" t="str">
        <f t="shared" si="22"/>
        <v/>
      </c>
      <c r="F440" s="1" t="str">
        <f t="shared" si="23"/>
        <v/>
      </c>
      <c r="G440" s="1" t="str">
        <f t="shared" si="24"/>
        <v/>
      </c>
    </row>
    <row r="441" customHeight="1" spans="1:7">
      <c r="A441" s="1" t="str">
        <f>IF(MAX($A$2:A440)=$B$1,"",MAX($A$2:A440)+1)</f>
        <v/>
      </c>
      <c r="B441" s="2" t="str">
        <f>IF(COUNT($A441)=0,"",VLOOKUP($A441,'物料分类表 R22'!$B$2:$H$1090,C441*2,FALSE))</f>
        <v/>
      </c>
      <c r="C441" s="2" t="e">
        <f>SUMIFS('物料分类表 R22'!#REF!,'物料分类表 R22'!$B$2:$B$1090,A441)</f>
        <v>#REF!</v>
      </c>
      <c r="D441" s="2" t="str">
        <f>IF(COUNT($A441)=0,"",IF(VLOOKUP($A441,'物料分类表 R22'!$B$2:$H$1090,D$3*2,FALSE)=0,D440,VLOOKUP($A441,'物料分类表 R22'!$B$2:$H$1090,D$3*2,FALSE)))</f>
        <v/>
      </c>
      <c r="E441" s="1" t="str">
        <f t="shared" si="22"/>
        <v/>
      </c>
      <c r="F441" s="1" t="str">
        <f t="shared" si="23"/>
        <v/>
      </c>
      <c r="G441" s="1" t="str">
        <f t="shared" si="24"/>
        <v/>
      </c>
    </row>
    <row r="442" customHeight="1" spans="1:7">
      <c r="A442" s="1" t="str">
        <f>IF(MAX($A$2:A441)=$B$1,"",MAX($A$2:A441)+1)</f>
        <v/>
      </c>
      <c r="B442" s="2" t="str">
        <f>IF(COUNT($A442)=0,"",VLOOKUP($A442,'物料分类表 R22'!$B$2:$H$1090,C442*2,FALSE))</f>
        <v/>
      </c>
      <c r="C442" s="2" t="e">
        <f>SUMIFS('物料分类表 R22'!#REF!,'物料分类表 R22'!$B$2:$B$1090,A442)</f>
        <v>#REF!</v>
      </c>
      <c r="D442" s="2" t="str">
        <f>IF(COUNT($A442)=0,"",IF(VLOOKUP($A442,'物料分类表 R22'!$B$2:$H$1090,D$3*2,FALSE)=0,D441,VLOOKUP($A442,'物料分类表 R22'!$B$2:$H$1090,D$3*2,FALSE)))</f>
        <v/>
      </c>
      <c r="E442" s="1" t="str">
        <f t="shared" si="22"/>
        <v/>
      </c>
      <c r="F442" s="1" t="str">
        <f t="shared" si="23"/>
        <v/>
      </c>
      <c r="G442" s="1" t="str">
        <f t="shared" si="24"/>
        <v/>
      </c>
    </row>
    <row r="443" customHeight="1" spans="1:7">
      <c r="A443" s="1" t="str">
        <f>IF(MAX($A$2:A442)=$B$1,"",MAX($A$2:A442)+1)</f>
        <v/>
      </c>
      <c r="B443" s="2" t="str">
        <f>IF(COUNT($A443)=0,"",VLOOKUP($A443,'物料分类表 R22'!$B$2:$H$1090,C443*2,FALSE))</f>
        <v/>
      </c>
      <c r="C443" s="2" t="e">
        <f>SUMIFS('物料分类表 R22'!#REF!,'物料分类表 R22'!$B$2:$B$1090,A443)</f>
        <v>#REF!</v>
      </c>
      <c r="D443" s="2" t="str">
        <f>IF(COUNT($A443)=0,"",IF(VLOOKUP($A443,'物料分类表 R22'!$B$2:$H$1090,D$3*2,FALSE)=0,D442,VLOOKUP($A443,'物料分类表 R22'!$B$2:$H$1090,D$3*2,FALSE)))</f>
        <v/>
      </c>
      <c r="E443" s="1" t="str">
        <f t="shared" si="22"/>
        <v/>
      </c>
      <c r="F443" s="1" t="str">
        <f t="shared" si="23"/>
        <v/>
      </c>
      <c r="G443" s="1" t="str">
        <f t="shared" si="24"/>
        <v/>
      </c>
    </row>
    <row r="444" customHeight="1" spans="1:7">
      <c r="A444" s="1" t="str">
        <f>IF(MAX($A$2:A443)=$B$1,"",MAX($A$2:A443)+1)</f>
        <v/>
      </c>
      <c r="B444" s="2" t="str">
        <f>IF(COUNT($A444)=0,"",VLOOKUP($A444,'物料分类表 R22'!$B$2:$H$1090,C444*2,FALSE))</f>
        <v/>
      </c>
      <c r="C444" s="2" t="e">
        <f>SUMIFS('物料分类表 R22'!#REF!,'物料分类表 R22'!$B$2:$B$1090,A444)</f>
        <v>#REF!</v>
      </c>
      <c r="D444" s="2" t="str">
        <f>IF(COUNT($A444)=0,"",IF(VLOOKUP($A444,'物料分类表 R22'!$B$2:$H$1090,D$3*2,FALSE)=0,D443,VLOOKUP($A444,'物料分类表 R22'!$B$2:$H$1090,D$3*2,FALSE)))</f>
        <v/>
      </c>
      <c r="E444" s="1" t="str">
        <f t="shared" si="22"/>
        <v/>
      </c>
      <c r="F444" s="1" t="str">
        <f t="shared" si="23"/>
        <v/>
      </c>
      <c r="G444" s="1" t="str">
        <f t="shared" si="24"/>
        <v/>
      </c>
    </row>
    <row r="445" customHeight="1" spans="1:7">
      <c r="A445" s="1" t="str">
        <f>IF(MAX($A$2:A444)=$B$1,"",MAX($A$2:A444)+1)</f>
        <v/>
      </c>
      <c r="B445" s="2" t="str">
        <f>IF(COUNT($A445)=0,"",VLOOKUP($A445,'物料分类表 R22'!$B$2:$H$1090,C445*2,FALSE))</f>
        <v/>
      </c>
      <c r="C445" s="2" t="e">
        <f>SUMIFS('物料分类表 R22'!#REF!,'物料分类表 R22'!$B$2:$B$1090,A445)</f>
        <v>#REF!</v>
      </c>
      <c r="D445" s="2" t="str">
        <f>IF(COUNT($A445)=0,"",IF(VLOOKUP($A445,'物料分类表 R22'!$B$2:$H$1090,D$3*2,FALSE)=0,D444,VLOOKUP($A445,'物料分类表 R22'!$B$2:$H$1090,D$3*2,FALSE)))</f>
        <v/>
      </c>
      <c r="E445" s="1" t="str">
        <f t="shared" si="22"/>
        <v/>
      </c>
      <c r="F445" s="1" t="str">
        <f t="shared" si="23"/>
        <v/>
      </c>
      <c r="G445" s="1" t="str">
        <f t="shared" si="24"/>
        <v/>
      </c>
    </row>
    <row r="446" customHeight="1" spans="1:7">
      <c r="A446" s="1" t="str">
        <f>IF(MAX($A$2:A445)=$B$1,"",MAX($A$2:A445)+1)</f>
        <v/>
      </c>
      <c r="B446" s="2" t="str">
        <f>IF(COUNT($A446)=0,"",VLOOKUP($A446,'物料分类表 R22'!$B$2:$H$1090,C446*2,FALSE))</f>
        <v/>
      </c>
      <c r="C446" s="2" t="e">
        <f>SUMIFS('物料分类表 R22'!#REF!,'物料分类表 R22'!$B$2:$B$1090,A446)</f>
        <v>#REF!</v>
      </c>
      <c r="D446" s="2" t="str">
        <f>IF(COUNT($A446)=0,"",IF(VLOOKUP($A446,'物料分类表 R22'!$B$2:$H$1090,D$3*2,FALSE)=0,D445,VLOOKUP($A446,'物料分类表 R22'!$B$2:$H$1090,D$3*2,FALSE)))</f>
        <v/>
      </c>
      <c r="E446" s="1" t="str">
        <f t="shared" si="22"/>
        <v/>
      </c>
      <c r="F446" s="1" t="str">
        <f t="shared" si="23"/>
        <v/>
      </c>
      <c r="G446" s="1" t="str">
        <f t="shared" si="24"/>
        <v/>
      </c>
    </row>
    <row r="447" customHeight="1" spans="1:7">
      <c r="A447" s="1" t="str">
        <f>IF(MAX($A$2:A446)=$B$1,"",MAX($A$2:A446)+1)</f>
        <v/>
      </c>
      <c r="B447" s="2" t="str">
        <f>IF(COUNT($A447)=0,"",VLOOKUP($A447,'物料分类表 R22'!$B$2:$H$1090,C447*2,FALSE))</f>
        <v/>
      </c>
      <c r="C447" s="2" t="e">
        <f>SUMIFS('物料分类表 R22'!#REF!,'物料分类表 R22'!$B$2:$B$1090,A447)</f>
        <v>#REF!</v>
      </c>
      <c r="D447" s="2" t="str">
        <f>IF(COUNT($A447)=0,"",IF(VLOOKUP($A447,'物料分类表 R22'!$B$2:$H$1090,D$3*2,FALSE)=0,D446,VLOOKUP($A447,'物料分类表 R22'!$B$2:$H$1090,D$3*2,FALSE)))</f>
        <v/>
      </c>
      <c r="E447" s="1" t="str">
        <f t="shared" si="22"/>
        <v/>
      </c>
      <c r="F447" s="1" t="str">
        <f t="shared" si="23"/>
        <v/>
      </c>
      <c r="G447" s="1" t="str">
        <f t="shared" si="24"/>
        <v/>
      </c>
    </row>
    <row r="448" customHeight="1" spans="1:7">
      <c r="A448" s="1" t="str">
        <f>IF(MAX($A$2:A447)=$B$1,"",MAX($A$2:A447)+1)</f>
        <v/>
      </c>
      <c r="B448" s="2" t="str">
        <f>IF(COUNT($A448)=0,"",VLOOKUP($A448,'物料分类表 R22'!$B$2:$H$1090,C448*2,FALSE))</f>
        <v/>
      </c>
      <c r="C448" s="2" t="e">
        <f>SUMIFS('物料分类表 R22'!#REF!,'物料分类表 R22'!$B$2:$B$1090,A448)</f>
        <v>#REF!</v>
      </c>
      <c r="D448" s="2" t="str">
        <f>IF(COUNT($A448)=0,"",IF(VLOOKUP($A448,'物料分类表 R22'!$B$2:$H$1090,D$3*2,FALSE)=0,D447,VLOOKUP($A448,'物料分类表 R22'!$B$2:$H$1090,D$3*2,FALSE)))</f>
        <v/>
      </c>
      <c r="E448" s="1" t="str">
        <f t="shared" si="22"/>
        <v/>
      </c>
      <c r="F448" s="1" t="str">
        <f t="shared" si="23"/>
        <v/>
      </c>
      <c r="G448" s="1" t="str">
        <f t="shared" si="24"/>
        <v/>
      </c>
    </row>
    <row r="449" customHeight="1" spans="1:7">
      <c r="A449" s="1" t="str">
        <f>IF(MAX($A$2:A448)=$B$1,"",MAX($A$2:A448)+1)</f>
        <v/>
      </c>
      <c r="B449" s="2" t="str">
        <f>IF(COUNT($A449)=0,"",VLOOKUP($A449,'物料分类表 R22'!$B$2:$H$1090,C449*2,FALSE))</f>
        <v/>
      </c>
      <c r="C449" s="2" t="e">
        <f>SUMIFS('物料分类表 R22'!#REF!,'物料分类表 R22'!$B$2:$B$1090,A449)</f>
        <v>#REF!</v>
      </c>
      <c r="D449" s="2" t="str">
        <f>IF(COUNT($A449)=0,"",IF(VLOOKUP($A449,'物料分类表 R22'!$B$2:$H$1090,D$3*2,FALSE)=0,D448,VLOOKUP($A449,'物料分类表 R22'!$B$2:$H$1090,D$3*2,FALSE)))</f>
        <v/>
      </c>
      <c r="E449" s="1" t="str">
        <f t="shared" si="22"/>
        <v/>
      </c>
      <c r="F449" s="1" t="str">
        <f t="shared" si="23"/>
        <v/>
      </c>
      <c r="G449" s="1" t="str">
        <f t="shared" si="24"/>
        <v/>
      </c>
    </row>
    <row r="450" customHeight="1" spans="1:7">
      <c r="A450" s="1" t="str">
        <f>IF(MAX($A$2:A449)=$B$1,"",MAX($A$2:A449)+1)</f>
        <v/>
      </c>
      <c r="B450" s="2" t="str">
        <f>IF(COUNT($A450)=0,"",VLOOKUP($A450,'物料分类表 R22'!$B$2:$H$1090,C450*2,FALSE))</f>
        <v/>
      </c>
      <c r="C450" s="2" t="e">
        <f>SUMIFS('物料分类表 R22'!#REF!,'物料分类表 R22'!$B$2:$B$1090,A450)</f>
        <v>#REF!</v>
      </c>
      <c r="D450" s="2" t="str">
        <f>IF(COUNT($A450)=0,"",IF(VLOOKUP($A450,'物料分类表 R22'!$B$2:$H$1090,D$3*2,FALSE)=0,D449,VLOOKUP($A450,'物料分类表 R22'!$B$2:$H$1090,D$3*2,FALSE)))</f>
        <v/>
      </c>
      <c r="E450" s="1" t="str">
        <f t="shared" si="22"/>
        <v/>
      </c>
      <c r="F450" s="1" t="str">
        <f t="shared" si="23"/>
        <v/>
      </c>
      <c r="G450" s="1" t="str">
        <f t="shared" si="24"/>
        <v/>
      </c>
    </row>
    <row r="451" customHeight="1" spans="1:7">
      <c r="A451" s="1" t="str">
        <f>IF(MAX($A$2:A450)=$B$1,"",MAX($A$2:A450)+1)</f>
        <v/>
      </c>
      <c r="B451" s="2" t="str">
        <f>IF(COUNT($A451)=0,"",VLOOKUP($A451,'物料分类表 R22'!$B$2:$H$1090,C451*2,FALSE))</f>
        <v/>
      </c>
      <c r="C451" s="2" t="e">
        <f>SUMIFS('物料分类表 R22'!#REF!,'物料分类表 R22'!$B$2:$B$1090,A451)</f>
        <v>#REF!</v>
      </c>
      <c r="D451" s="2" t="str">
        <f>IF(COUNT($A451)=0,"",IF(VLOOKUP($A451,'物料分类表 R22'!$B$2:$H$1090,D$3*2,FALSE)=0,D450,VLOOKUP($A451,'物料分类表 R22'!$B$2:$H$1090,D$3*2,FALSE)))</f>
        <v/>
      </c>
      <c r="E451" s="1" t="str">
        <f t="shared" si="22"/>
        <v/>
      </c>
      <c r="F451" s="1" t="str">
        <f t="shared" si="23"/>
        <v/>
      </c>
      <c r="G451" s="1" t="str">
        <f t="shared" si="24"/>
        <v/>
      </c>
    </row>
    <row r="452" customHeight="1" spans="1:7">
      <c r="A452" s="1" t="str">
        <f>IF(MAX($A$2:A451)=$B$1,"",MAX($A$2:A451)+1)</f>
        <v/>
      </c>
      <c r="B452" s="2" t="str">
        <f>IF(COUNT($A452)=0,"",VLOOKUP($A452,'物料分类表 R22'!$B$2:$H$1090,C452*2,FALSE))</f>
        <v/>
      </c>
      <c r="C452" s="2" t="e">
        <f>SUMIFS('物料分类表 R22'!#REF!,'物料分类表 R22'!$B$2:$B$1090,A452)</f>
        <v>#REF!</v>
      </c>
      <c r="D452" s="2" t="str">
        <f>IF(COUNT($A452)=0,"",IF(VLOOKUP($A452,'物料分类表 R22'!$B$2:$H$1090,D$3*2,FALSE)=0,D451,VLOOKUP($A452,'物料分类表 R22'!$B$2:$H$1090,D$3*2,FALSE)))</f>
        <v/>
      </c>
      <c r="E452" s="1" t="str">
        <f t="shared" si="22"/>
        <v/>
      </c>
      <c r="F452" s="1" t="str">
        <f t="shared" si="23"/>
        <v/>
      </c>
      <c r="G452" s="1" t="str">
        <f t="shared" si="24"/>
        <v/>
      </c>
    </row>
    <row r="453" customHeight="1" spans="1:7">
      <c r="A453" s="1" t="str">
        <f>IF(MAX($A$2:A452)=$B$1,"",MAX($A$2:A452)+1)</f>
        <v/>
      </c>
      <c r="B453" s="2" t="str">
        <f>IF(COUNT($A453)=0,"",VLOOKUP($A453,'物料分类表 R22'!$B$2:$H$1090,C453*2,FALSE))</f>
        <v/>
      </c>
      <c r="C453" s="2" t="e">
        <f>SUMIFS('物料分类表 R22'!#REF!,'物料分类表 R22'!$B$2:$B$1090,A453)</f>
        <v>#REF!</v>
      </c>
      <c r="D453" s="2" t="str">
        <f>IF(COUNT($A453)=0,"",IF(VLOOKUP($A453,'物料分类表 R22'!$B$2:$H$1090,D$3*2,FALSE)=0,D452,VLOOKUP($A453,'物料分类表 R22'!$B$2:$H$1090,D$3*2,FALSE)))</f>
        <v/>
      </c>
      <c r="E453" s="1" t="str">
        <f t="shared" si="22"/>
        <v/>
      </c>
      <c r="F453" s="1" t="str">
        <f t="shared" si="23"/>
        <v/>
      </c>
      <c r="G453" s="1" t="str">
        <f t="shared" si="24"/>
        <v/>
      </c>
    </row>
    <row r="454" customHeight="1" spans="1:7">
      <c r="A454" s="1" t="str">
        <f>IF(MAX($A$2:A453)=$B$1,"",MAX($A$2:A453)+1)</f>
        <v/>
      </c>
      <c r="B454" s="2" t="str">
        <f>IF(COUNT($A454)=0,"",VLOOKUP($A454,'物料分类表 R22'!$B$2:$H$1090,C454*2,FALSE))</f>
        <v/>
      </c>
      <c r="C454" s="2" t="e">
        <f>SUMIFS('物料分类表 R22'!#REF!,'物料分类表 R22'!$B$2:$B$1090,A454)</f>
        <v>#REF!</v>
      </c>
      <c r="D454" s="2" t="str">
        <f>IF(COUNT($A454)=0,"",IF(VLOOKUP($A454,'物料分类表 R22'!$B$2:$H$1090,D$3*2,FALSE)=0,D453,VLOOKUP($A454,'物料分类表 R22'!$B$2:$H$1090,D$3*2,FALSE)))</f>
        <v/>
      </c>
      <c r="E454" s="1" t="str">
        <f t="shared" si="22"/>
        <v/>
      </c>
      <c r="F454" s="1" t="str">
        <f t="shared" si="23"/>
        <v/>
      </c>
      <c r="G454" s="1" t="str">
        <f t="shared" si="24"/>
        <v/>
      </c>
    </row>
    <row r="455" customHeight="1" spans="1:7">
      <c r="A455" s="1" t="str">
        <f>IF(MAX($A$2:A454)=$B$1,"",MAX($A$2:A454)+1)</f>
        <v/>
      </c>
      <c r="B455" s="2" t="str">
        <f>IF(COUNT($A455)=0,"",VLOOKUP($A455,'物料分类表 R22'!$B$2:$H$1090,C455*2,FALSE))</f>
        <v/>
      </c>
      <c r="C455" s="2" t="e">
        <f>SUMIFS('物料分类表 R22'!#REF!,'物料分类表 R22'!$B$2:$B$1090,A455)</f>
        <v>#REF!</v>
      </c>
      <c r="D455" s="2" t="str">
        <f>IF(COUNT($A455)=0,"",IF(VLOOKUP($A455,'物料分类表 R22'!$B$2:$H$1090,D$3*2,FALSE)=0,D454,VLOOKUP($A455,'物料分类表 R22'!$B$2:$H$1090,D$3*2,FALSE)))</f>
        <v/>
      </c>
      <c r="E455" s="1" t="str">
        <f t="shared" si="22"/>
        <v/>
      </c>
      <c r="F455" s="1" t="str">
        <f t="shared" si="23"/>
        <v/>
      </c>
      <c r="G455" s="1" t="str">
        <f t="shared" si="24"/>
        <v/>
      </c>
    </row>
    <row r="456" customHeight="1" spans="1:7">
      <c r="A456" s="1" t="str">
        <f>IF(MAX($A$2:A455)=$B$1,"",MAX($A$2:A455)+1)</f>
        <v/>
      </c>
      <c r="B456" s="2" t="str">
        <f>IF(COUNT($A456)=0,"",VLOOKUP($A456,'物料分类表 R22'!$B$2:$H$1090,C456*2,FALSE))</f>
        <v/>
      </c>
      <c r="C456" s="2" t="e">
        <f>SUMIFS('物料分类表 R22'!#REF!,'物料分类表 R22'!$B$2:$B$1090,A456)</f>
        <v>#REF!</v>
      </c>
      <c r="D456" s="2" t="str">
        <f>IF(COUNT($A456)=0,"",IF(VLOOKUP($A456,'物料分类表 R22'!$B$2:$H$1090,D$3*2,FALSE)=0,D455,VLOOKUP($A456,'物料分类表 R22'!$B$2:$H$1090,D$3*2,FALSE)))</f>
        <v/>
      </c>
      <c r="E456" s="1" t="str">
        <f t="shared" si="22"/>
        <v/>
      </c>
      <c r="F456" s="1" t="str">
        <f t="shared" si="23"/>
        <v/>
      </c>
      <c r="G456" s="1" t="str">
        <f t="shared" si="24"/>
        <v/>
      </c>
    </row>
    <row r="457" customHeight="1" spans="1:7">
      <c r="A457" s="1" t="str">
        <f>IF(MAX($A$2:A456)=$B$1,"",MAX($A$2:A456)+1)</f>
        <v/>
      </c>
      <c r="B457" s="2" t="str">
        <f>IF(COUNT($A457)=0,"",VLOOKUP($A457,'物料分类表 R22'!$B$2:$H$1090,C457*2,FALSE))</f>
        <v/>
      </c>
      <c r="C457" s="2" t="e">
        <f>SUMIFS('物料分类表 R22'!#REF!,'物料分类表 R22'!$B$2:$B$1090,A457)</f>
        <v>#REF!</v>
      </c>
      <c r="D457" s="2" t="str">
        <f>IF(COUNT($A457)=0,"",IF(VLOOKUP($A457,'物料分类表 R22'!$B$2:$H$1090,D$3*2,FALSE)=0,D456,VLOOKUP($A457,'物料分类表 R22'!$B$2:$H$1090,D$3*2,FALSE)))</f>
        <v/>
      </c>
      <c r="E457" s="1" t="str">
        <f t="shared" si="22"/>
        <v/>
      </c>
      <c r="F457" s="1" t="str">
        <f t="shared" si="23"/>
        <v/>
      </c>
      <c r="G457" s="1" t="str">
        <f t="shared" si="24"/>
        <v/>
      </c>
    </row>
    <row r="458" customHeight="1" spans="1:7">
      <c r="A458" s="1" t="str">
        <f>IF(MAX($A$2:A457)=$B$1,"",MAX($A$2:A457)+1)</f>
        <v/>
      </c>
      <c r="B458" s="2" t="str">
        <f>IF(COUNT($A458)=0,"",VLOOKUP($A458,'物料分类表 R22'!$B$2:$H$1090,C458*2,FALSE))</f>
        <v/>
      </c>
      <c r="C458" s="2" t="e">
        <f>SUMIFS('物料分类表 R22'!#REF!,'物料分类表 R22'!$B$2:$B$1090,A458)</f>
        <v>#REF!</v>
      </c>
      <c r="D458" s="2" t="str">
        <f>IF(COUNT($A458)=0,"",IF(VLOOKUP($A458,'物料分类表 R22'!$B$2:$H$1090,D$3*2,FALSE)=0,D457,VLOOKUP($A458,'物料分类表 R22'!$B$2:$H$1090,D$3*2,FALSE)))</f>
        <v/>
      </c>
      <c r="E458" s="1" t="str">
        <f t="shared" si="22"/>
        <v/>
      </c>
      <c r="F458" s="1" t="str">
        <f t="shared" si="23"/>
        <v/>
      </c>
      <c r="G458" s="1" t="str">
        <f t="shared" si="24"/>
        <v/>
      </c>
    </row>
    <row r="459" customHeight="1" spans="1:7">
      <c r="A459" s="1" t="str">
        <f>IF(MAX($A$2:A458)=$B$1,"",MAX($A$2:A458)+1)</f>
        <v/>
      </c>
      <c r="B459" s="2" t="str">
        <f>IF(COUNT($A459)=0,"",VLOOKUP($A459,'物料分类表 R22'!$B$2:$H$1090,C459*2,FALSE))</f>
        <v/>
      </c>
      <c r="C459" s="2" t="e">
        <f>SUMIFS('物料分类表 R22'!#REF!,'物料分类表 R22'!$B$2:$B$1090,A459)</f>
        <v>#REF!</v>
      </c>
      <c r="D459" s="2" t="str">
        <f>IF(COUNT($A459)=0,"",IF(VLOOKUP($A459,'物料分类表 R22'!$B$2:$H$1090,D$3*2,FALSE)=0,D458,VLOOKUP($A459,'物料分类表 R22'!$B$2:$H$1090,D$3*2,FALSE)))</f>
        <v/>
      </c>
      <c r="E459" s="1" t="str">
        <f t="shared" si="22"/>
        <v/>
      </c>
      <c r="F459" s="1" t="str">
        <f t="shared" si="23"/>
        <v/>
      </c>
      <c r="G459" s="1" t="str">
        <f t="shared" si="24"/>
        <v/>
      </c>
    </row>
    <row r="460" customHeight="1" spans="1:7">
      <c r="A460" s="1" t="str">
        <f>IF(MAX($A$2:A459)=$B$1,"",MAX($A$2:A459)+1)</f>
        <v/>
      </c>
      <c r="B460" s="2" t="str">
        <f>IF(COUNT($A460)=0,"",VLOOKUP($A460,'物料分类表 R22'!$B$2:$H$1090,C460*2,FALSE))</f>
        <v/>
      </c>
      <c r="C460" s="2" t="e">
        <f>SUMIFS('物料分类表 R22'!#REF!,'物料分类表 R22'!$B$2:$B$1090,A460)</f>
        <v>#REF!</v>
      </c>
      <c r="D460" s="2" t="str">
        <f>IF(COUNT($A460)=0,"",IF(VLOOKUP($A460,'物料分类表 R22'!$B$2:$H$1090,D$3*2,FALSE)=0,D459,VLOOKUP($A460,'物料分类表 R22'!$B$2:$H$1090,D$3*2,FALSE)))</f>
        <v/>
      </c>
      <c r="E460" s="1" t="str">
        <f t="shared" si="22"/>
        <v/>
      </c>
      <c r="F460" s="1" t="str">
        <f t="shared" si="23"/>
        <v/>
      </c>
      <c r="G460" s="1" t="str">
        <f t="shared" si="24"/>
        <v/>
      </c>
    </row>
    <row r="461" customHeight="1" spans="1:7">
      <c r="A461" s="1" t="str">
        <f>IF(MAX($A$2:A460)=$B$1,"",MAX($A$2:A460)+1)</f>
        <v/>
      </c>
      <c r="B461" s="2" t="str">
        <f>IF(COUNT($A461)=0,"",VLOOKUP($A461,'物料分类表 R22'!$B$2:$H$1090,C461*2,FALSE))</f>
        <v/>
      </c>
      <c r="C461" s="2" t="e">
        <f>SUMIFS('物料分类表 R22'!#REF!,'物料分类表 R22'!$B$2:$B$1090,A461)</f>
        <v>#REF!</v>
      </c>
      <c r="D461" s="2" t="str">
        <f>IF(COUNT($A461)=0,"",IF(VLOOKUP($A461,'物料分类表 R22'!$B$2:$H$1090,D$3*2,FALSE)=0,D460,VLOOKUP($A461,'物料分类表 R22'!$B$2:$H$1090,D$3*2,FALSE)))</f>
        <v/>
      </c>
      <c r="E461" s="1" t="str">
        <f t="shared" si="22"/>
        <v/>
      </c>
      <c r="F461" s="1" t="str">
        <f t="shared" si="23"/>
        <v/>
      </c>
      <c r="G461" s="1" t="str">
        <f t="shared" si="24"/>
        <v/>
      </c>
    </row>
    <row r="462" customHeight="1" spans="1:7">
      <c r="A462" s="1" t="str">
        <f>IF(MAX($A$2:A461)=$B$1,"",MAX($A$2:A461)+1)</f>
        <v/>
      </c>
      <c r="B462" s="2" t="str">
        <f>IF(COUNT($A462)=0,"",VLOOKUP($A462,'物料分类表 R22'!$B$2:$H$1090,C462*2,FALSE))</f>
        <v/>
      </c>
      <c r="C462" s="2" t="e">
        <f>SUMIFS('物料分类表 R22'!#REF!,'物料分类表 R22'!$B$2:$B$1090,A462)</f>
        <v>#REF!</v>
      </c>
      <c r="D462" s="2" t="str">
        <f>IF(COUNT($A462)=0,"",IF(VLOOKUP($A462,'物料分类表 R22'!$B$2:$H$1090,D$3*2,FALSE)=0,D461,VLOOKUP($A462,'物料分类表 R22'!$B$2:$H$1090,D$3*2,FALSE)))</f>
        <v/>
      </c>
      <c r="E462" s="1" t="str">
        <f t="shared" si="22"/>
        <v/>
      </c>
      <c r="F462" s="1" t="str">
        <f t="shared" si="23"/>
        <v/>
      </c>
      <c r="G462" s="1" t="str">
        <f t="shared" si="24"/>
        <v/>
      </c>
    </row>
    <row r="463" customHeight="1" spans="1:7">
      <c r="A463" s="1" t="str">
        <f>IF(MAX($A$2:A462)=$B$1,"",MAX($A$2:A462)+1)</f>
        <v/>
      </c>
      <c r="B463" s="2" t="str">
        <f>IF(COUNT($A463)=0,"",VLOOKUP($A463,'物料分类表 R22'!$B$2:$H$1090,C463*2,FALSE))</f>
        <v/>
      </c>
      <c r="C463" s="2" t="e">
        <f>SUMIFS('物料分类表 R22'!#REF!,'物料分类表 R22'!$B$2:$B$1090,A463)</f>
        <v>#REF!</v>
      </c>
      <c r="D463" s="2" t="str">
        <f>IF(COUNT($A463)=0,"",IF(VLOOKUP($A463,'物料分类表 R22'!$B$2:$H$1090,D$3*2,FALSE)=0,D462,VLOOKUP($A463,'物料分类表 R22'!$B$2:$H$1090,D$3*2,FALSE)))</f>
        <v/>
      </c>
      <c r="E463" s="1" t="str">
        <f t="shared" si="22"/>
        <v/>
      </c>
      <c r="F463" s="1" t="str">
        <f t="shared" si="23"/>
        <v/>
      </c>
      <c r="G463" s="1" t="str">
        <f t="shared" si="24"/>
        <v/>
      </c>
    </row>
    <row r="464" customHeight="1" spans="1:7">
      <c r="A464" s="1" t="str">
        <f>IF(MAX($A$2:A463)=$B$1,"",MAX($A$2:A463)+1)</f>
        <v/>
      </c>
      <c r="B464" s="2" t="str">
        <f>IF(COUNT($A464)=0,"",VLOOKUP($A464,'物料分类表 R22'!$B$2:$H$1090,C464*2,FALSE))</f>
        <v/>
      </c>
      <c r="C464" s="2" t="e">
        <f>SUMIFS('物料分类表 R22'!#REF!,'物料分类表 R22'!$B$2:$B$1090,A464)</f>
        <v>#REF!</v>
      </c>
      <c r="D464" s="2" t="str">
        <f>IF(COUNT($A464)=0,"",IF(VLOOKUP($A464,'物料分类表 R22'!$B$2:$H$1090,D$3*2,FALSE)=0,D463,VLOOKUP($A464,'物料分类表 R22'!$B$2:$H$1090,D$3*2,FALSE)))</f>
        <v/>
      </c>
      <c r="E464" s="1" t="str">
        <f t="shared" si="22"/>
        <v/>
      </c>
      <c r="F464" s="1" t="str">
        <f t="shared" si="23"/>
        <v/>
      </c>
      <c r="G464" s="1" t="str">
        <f t="shared" si="24"/>
        <v/>
      </c>
    </row>
    <row r="465" customHeight="1" spans="1:7">
      <c r="A465" s="1" t="str">
        <f>IF(MAX($A$2:A464)=$B$1,"",MAX($A$2:A464)+1)</f>
        <v/>
      </c>
      <c r="B465" s="2" t="str">
        <f>IF(COUNT($A465)=0,"",VLOOKUP($A465,'物料分类表 R22'!$B$2:$H$1090,C465*2,FALSE))</f>
        <v/>
      </c>
      <c r="C465" s="2" t="e">
        <f>SUMIFS('物料分类表 R22'!#REF!,'物料分类表 R22'!$B$2:$B$1090,A465)</f>
        <v>#REF!</v>
      </c>
      <c r="D465" s="2" t="str">
        <f>IF(COUNT($A465)=0,"",IF(VLOOKUP($A465,'物料分类表 R22'!$B$2:$H$1090,D$3*2,FALSE)=0,D464,VLOOKUP($A465,'物料分类表 R22'!$B$2:$H$1090,D$3*2,FALSE)))</f>
        <v/>
      </c>
      <c r="E465" s="1" t="str">
        <f t="shared" si="22"/>
        <v/>
      </c>
      <c r="F465" s="1" t="str">
        <f t="shared" si="23"/>
        <v/>
      </c>
      <c r="G465" s="1" t="str">
        <f t="shared" si="24"/>
        <v/>
      </c>
    </row>
    <row r="466" customHeight="1" spans="1:7">
      <c r="A466" s="1" t="str">
        <f>IF(MAX($A$2:A465)=$B$1,"",MAX($A$2:A465)+1)</f>
        <v/>
      </c>
      <c r="B466" s="2" t="str">
        <f>IF(COUNT($A466)=0,"",VLOOKUP($A466,'物料分类表 R22'!$B$2:$H$1090,C466*2,FALSE))</f>
        <v/>
      </c>
      <c r="C466" s="2" t="e">
        <f>SUMIFS('物料分类表 R22'!#REF!,'物料分类表 R22'!$B$2:$B$1090,A466)</f>
        <v>#REF!</v>
      </c>
      <c r="D466" s="2" t="str">
        <f>IF(COUNT($A466)=0,"",IF(VLOOKUP($A466,'物料分类表 R22'!$B$2:$H$1090,D$3*2,FALSE)=0,D465,VLOOKUP($A466,'物料分类表 R22'!$B$2:$H$1090,D$3*2,FALSE)))</f>
        <v/>
      </c>
      <c r="E466" s="1" t="str">
        <f t="shared" si="22"/>
        <v/>
      </c>
      <c r="F466" s="1" t="str">
        <f t="shared" si="23"/>
        <v/>
      </c>
      <c r="G466" s="1" t="str">
        <f t="shared" si="24"/>
        <v/>
      </c>
    </row>
    <row r="467" customHeight="1" spans="1:7">
      <c r="A467" s="1" t="str">
        <f>IF(MAX($A$2:A466)=$B$1,"",MAX($A$2:A466)+1)</f>
        <v/>
      </c>
      <c r="B467" s="2" t="str">
        <f>IF(COUNT($A467)=0,"",VLOOKUP($A467,'物料分类表 R22'!$B$2:$H$1090,C467*2,FALSE))</f>
        <v/>
      </c>
      <c r="C467" s="2" t="e">
        <f>SUMIFS('物料分类表 R22'!#REF!,'物料分类表 R22'!$B$2:$B$1090,A467)</f>
        <v>#REF!</v>
      </c>
      <c r="D467" s="2" t="str">
        <f>IF(COUNT($A467)=0,"",IF(VLOOKUP($A467,'物料分类表 R22'!$B$2:$H$1090,D$3*2,FALSE)=0,D466,VLOOKUP($A467,'物料分类表 R22'!$B$2:$H$1090,D$3*2,FALSE)))</f>
        <v/>
      </c>
      <c r="E467" s="1" t="str">
        <f t="shared" si="22"/>
        <v/>
      </c>
      <c r="F467" s="1" t="str">
        <f t="shared" si="23"/>
        <v/>
      </c>
      <c r="G467" s="1" t="str">
        <f t="shared" si="24"/>
        <v/>
      </c>
    </row>
    <row r="468" customHeight="1" spans="1:7">
      <c r="A468" s="1" t="str">
        <f>IF(MAX($A$2:A467)=$B$1,"",MAX($A$2:A467)+1)</f>
        <v/>
      </c>
      <c r="B468" s="2" t="str">
        <f>IF(COUNT($A468)=0,"",VLOOKUP($A468,'物料分类表 R22'!$B$2:$H$1090,C468*2,FALSE))</f>
        <v/>
      </c>
      <c r="C468" s="2" t="e">
        <f>SUMIFS('物料分类表 R22'!#REF!,'物料分类表 R22'!$B$2:$B$1090,A468)</f>
        <v>#REF!</v>
      </c>
      <c r="D468" s="2" t="str">
        <f>IF(COUNT($A468)=0,"",IF(VLOOKUP($A468,'物料分类表 R22'!$B$2:$H$1090,D$3*2,FALSE)=0,D467,VLOOKUP($A468,'物料分类表 R22'!$B$2:$H$1090,D$3*2,FALSE)))</f>
        <v/>
      </c>
      <c r="E468" s="1" t="str">
        <f t="shared" si="22"/>
        <v/>
      </c>
      <c r="F468" s="1" t="str">
        <f t="shared" si="23"/>
        <v/>
      </c>
      <c r="G468" s="1" t="str">
        <f t="shared" si="24"/>
        <v/>
      </c>
    </row>
    <row r="469" customHeight="1" spans="1:7">
      <c r="A469" s="1" t="str">
        <f>IF(MAX($A$2:A468)=$B$1,"",MAX($A$2:A468)+1)</f>
        <v/>
      </c>
      <c r="B469" s="2" t="str">
        <f>IF(COUNT($A469)=0,"",VLOOKUP($A469,'物料分类表 R22'!$B$2:$H$1090,C469*2,FALSE))</f>
        <v/>
      </c>
      <c r="C469" s="2" t="e">
        <f>SUMIFS('物料分类表 R22'!#REF!,'物料分类表 R22'!$B$2:$B$1090,A469)</f>
        <v>#REF!</v>
      </c>
      <c r="D469" s="2" t="str">
        <f>IF(COUNT($A469)=0,"",IF(VLOOKUP($A469,'物料分类表 R22'!$B$2:$H$1090,D$3*2,FALSE)=0,D468,VLOOKUP($A469,'物料分类表 R22'!$B$2:$H$1090,D$3*2,FALSE)))</f>
        <v/>
      </c>
      <c r="E469" s="1" t="str">
        <f t="shared" si="22"/>
        <v/>
      </c>
      <c r="F469" s="1" t="str">
        <f t="shared" si="23"/>
        <v/>
      </c>
      <c r="G469" s="1" t="str">
        <f t="shared" si="24"/>
        <v/>
      </c>
    </row>
    <row r="470" customHeight="1" spans="1:7">
      <c r="A470" s="1" t="str">
        <f>IF(MAX($A$2:A469)=$B$1,"",MAX($A$2:A469)+1)</f>
        <v/>
      </c>
      <c r="B470" s="2" t="str">
        <f>IF(COUNT($A470)=0,"",VLOOKUP($A470,'物料分类表 R22'!$B$2:$H$1090,C470*2,FALSE))</f>
        <v/>
      </c>
      <c r="C470" s="2" t="e">
        <f>SUMIFS('物料分类表 R22'!#REF!,'物料分类表 R22'!$B$2:$B$1090,A470)</f>
        <v>#REF!</v>
      </c>
      <c r="D470" s="2" t="str">
        <f>IF(COUNT($A470)=0,"",IF(VLOOKUP($A470,'物料分类表 R22'!$B$2:$H$1090,D$3*2,FALSE)=0,D469,VLOOKUP($A470,'物料分类表 R22'!$B$2:$H$1090,D$3*2,FALSE)))</f>
        <v/>
      </c>
      <c r="E470" s="1" t="str">
        <f t="shared" si="22"/>
        <v/>
      </c>
      <c r="F470" s="1" t="str">
        <f t="shared" si="23"/>
        <v/>
      </c>
      <c r="G470" s="1" t="str">
        <f t="shared" si="24"/>
        <v/>
      </c>
    </row>
    <row r="471" customHeight="1" spans="1:7">
      <c r="A471" s="1" t="str">
        <f>IF(MAX($A$2:A470)=$B$1,"",MAX($A$2:A470)+1)</f>
        <v/>
      </c>
      <c r="B471" s="2" t="str">
        <f>IF(COUNT($A471)=0,"",VLOOKUP($A471,'物料分类表 R22'!$B$2:$H$1090,C471*2,FALSE))</f>
        <v/>
      </c>
      <c r="C471" s="2" t="e">
        <f>SUMIFS('物料分类表 R22'!#REF!,'物料分类表 R22'!$B$2:$B$1090,A471)</f>
        <v>#REF!</v>
      </c>
      <c r="D471" s="2" t="str">
        <f>IF(COUNT($A471)=0,"",IF(VLOOKUP($A471,'物料分类表 R22'!$B$2:$H$1090,D$3*2,FALSE)=0,D470,VLOOKUP($A471,'物料分类表 R22'!$B$2:$H$1090,D$3*2,FALSE)))</f>
        <v/>
      </c>
      <c r="E471" s="1" t="str">
        <f t="shared" si="22"/>
        <v/>
      </c>
      <c r="F471" s="1" t="str">
        <f t="shared" si="23"/>
        <v/>
      </c>
      <c r="G471" s="1" t="str">
        <f t="shared" si="24"/>
        <v/>
      </c>
    </row>
    <row r="472" customHeight="1" spans="1:7">
      <c r="A472" s="1" t="str">
        <f>IF(MAX($A$2:A471)=$B$1,"",MAX($A$2:A471)+1)</f>
        <v/>
      </c>
      <c r="B472" s="2" t="str">
        <f>IF(COUNT($A472)=0,"",VLOOKUP($A472,'物料分类表 R22'!$B$2:$H$1090,C472*2,FALSE))</f>
        <v/>
      </c>
      <c r="C472" s="2" t="e">
        <f>SUMIFS('物料分类表 R22'!#REF!,'物料分类表 R22'!$B$2:$B$1090,A472)</f>
        <v>#REF!</v>
      </c>
      <c r="D472" s="2" t="str">
        <f>IF(COUNT($A472)=0,"",IF(VLOOKUP($A472,'物料分类表 R22'!$B$2:$H$1090,D$3*2,FALSE)=0,D471,VLOOKUP($A472,'物料分类表 R22'!$B$2:$H$1090,D$3*2,FALSE)))</f>
        <v/>
      </c>
      <c r="E472" s="1" t="str">
        <f t="shared" si="22"/>
        <v/>
      </c>
      <c r="F472" s="1" t="str">
        <f t="shared" si="23"/>
        <v/>
      </c>
      <c r="G472" s="1" t="str">
        <f t="shared" si="24"/>
        <v/>
      </c>
    </row>
    <row r="473" customHeight="1" spans="1:7">
      <c r="A473" s="1" t="str">
        <f>IF(MAX($A$2:A472)=$B$1,"",MAX($A$2:A472)+1)</f>
        <v/>
      </c>
      <c r="B473" s="2" t="str">
        <f>IF(COUNT($A473)=0,"",VLOOKUP($A473,'物料分类表 R22'!$B$2:$H$1090,C473*2,FALSE))</f>
        <v/>
      </c>
      <c r="C473" s="2" t="e">
        <f>SUMIFS('物料分类表 R22'!#REF!,'物料分类表 R22'!$B$2:$B$1090,A473)</f>
        <v>#REF!</v>
      </c>
      <c r="D473" s="2" t="str">
        <f>IF(COUNT($A473)=0,"",IF(VLOOKUP($A473,'物料分类表 R22'!$B$2:$H$1090,D$3*2,FALSE)=0,D472,VLOOKUP($A473,'物料分类表 R22'!$B$2:$H$1090,D$3*2,FALSE)))</f>
        <v/>
      </c>
      <c r="E473" s="1" t="str">
        <f t="shared" si="22"/>
        <v/>
      </c>
      <c r="F473" s="1" t="str">
        <f t="shared" si="23"/>
        <v/>
      </c>
      <c r="G473" s="1" t="str">
        <f t="shared" si="24"/>
        <v/>
      </c>
    </row>
    <row r="474" customHeight="1" spans="1:7">
      <c r="A474" s="1" t="str">
        <f>IF(MAX($A$2:A473)=$B$1,"",MAX($A$2:A473)+1)</f>
        <v/>
      </c>
      <c r="B474" s="2" t="str">
        <f>IF(COUNT($A474)=0,"",VLOOKUP($A474,'物料分类表 R22'!$B$2:$H$1090,C474*2,FALSE))</f>
        <v/>
      </c>
      <c r="C474" s="2" t="e">
        <f>SUMIFS('物料分类表 R22'!#REF!,'物料分类表 R22'!$B$2:$B$1090,A474)</f>
        <v>#REF!</v>
      </c>
      <c r="D474" s="2" t="str">
        <f>IF(COUNT($A474)=0,"",IF(VLOOKUP($A474,'物料分类表 R22'!$B$2:$H$1090,D$3*2,FALSE)=0,D473,VLOOKUP($A474,'物料分类表 R22'!$B$2:$H$1090,D$3*2,FALSE)))</f>
        <v/>
      </c>
      <c r="E474" s="1" t="str">
        <f t="shared" si="22"/>
        <v/>
      </c>
      <c r="F474" s="1" t="str">
        <f t="shared" si="23"/>
        <v/>
      </c>
      <c r="G474" s="1" t="str">
        <f t="shared" si="24"/>
        <v/>
      </c>
    </row>
    <row r="475" customHeight="1" spans="1:7">
      <c r="A475" s="1" t="str">
        <f>IF(MAX($A$2:A474)=$B$1,"",MAX($A$2:A474)+1)</f>
        <v/>
      </c>
      <c r="B475" s="2" t="str">
        <f>IF(COUNT($A475)=0,"",VLOOKUP($A475,'物料分类表 R22'!$B$2:$H$1090,C475*2,FALSE))</f>
        <v/>
      </c>
      <c r="C475" s="2" t="e">
        <f>SUMIFS('物料分类表 R22'!#REF!,'物料分类表 R22'!$B$2:$B$1090,A475)</f>
        <v>#REF!</v>
      </c>
      <c r="D475" s="2" t="str">
        <f>IF(COUNT($A475)=0,"",IF(VLOOKUP($A475,'物料分类表 R22'!$B$2:$H$1090,D$3*2,FALSE)=0,D474,VLOOKUP($A475,'物料分类表 R22'!$B$2:$H$1090,D$3*2,FALSE)))</f>
        <v/>
      </c>
      <c r="E475" s="1" t="str">
        <f t="shared" si="22"/>
        <v/>
      </c>
      <c r="F475" s="1" t="str">
        <f t="shared" si="23"/>
        <v/>
      </c>
      <c r="G475" s="1" t="str">
        <f t="shared" si="24"/>
        <v/>
      </c>
    </row>
    <row r="476" customHeight="1" spans="1:7">
      <c r="A476" s="1" t="str">
        <f>IF(MAX($A$2:A475)=$B$1,"",MAX($A$2:A475)+1)</f>
        <v/>
      </c>
      <c r="B476" s="2" t="str">
        <f>IF(COUNT($A476)=0,"",VLOOKUP($A476,'物料分类表 R22'!$B$2:$H$1090,C476*2,FALSE))</f>
        <v/>
      </c>
      <c r="C476" s="2" t="e">
        <f>SUMIFS('物料分类表 R22'!#REF!,'物料分类表 R22'!$B$2:$B$1090,A476)</f>
        <v>#REF!</v>
      </c>
      <c r="D476" s="2" t="str">
        <f>IF(COUNT($A476)=0,"",IF(VLOOKUP($A476,'物料分类表 R22'!$B$2:$H$1090,D$3*2,FALSE)=0,D475,VLOOKUP($A476,'物料分类表 R22'!$B$2:$H$1090,D$3*2,FALSE)))</f>
        <v/>
      </c>
      <c r="E476" s="1" t="str">
        <f t="shared" si="22"/>
        <v/>
      </c>
      <c r="F476" s="1" t="str">
        <f t="shared" si="23"/>
        <v/>
      </c>
      <c r="G476" s="1" t="str">
        <f t="shared" si="24"/>
        <v/>
      </c>
    </row>
    <row r="477" customHeight="1" spans="1:7">
      <c r="A477" s="1" t="str">
        <f>IF(MAX($A$2:A476)=$B$1,"",MAX($A$2:A476)+1)</f>
        <v/>
      </c>
      <c r="B477" s="2" t="str">
        <f>IF(COUNT($A477)=0,"",VLOOKUP($A477,'物料分类表 R22'!$B$2:$H$1090,C477*2,FALSE))</f>
        <v/>
      </c>
      <c r="C477" s="2" t="e">
        <f>SUMIFS('物料分类表 R22'!#REF!,'物料分类表 R22'!$B$2:$B$1090,A477)</f>
        <v>#REF!</v>
      </c>
      <c r="D477" s="2" t="str">
        <f>IF(COUNT($A477)=0,"",IF(VLOOKUP($A477,'物料分类表 R22'!$B$2:$H$1090,D$3*2,FALSE)=0,D476,VLOOKUP($A477,'物料分类表 R22'!$B$2:$H$1090,D$3*2,FALSE)))</f>
        <v/>
      </c>
      <c r="E477" s="1" t="str">
        <f t="shared" si="22"/>
        <v/>
      </c>
      <c r="F477" s="1" t="str">
        <f t="shared" si="23"/>
        <v/>
      </c>
      <c r="G477" s="1" t="str">
        <f t="shared" si="24"/>
        <v/>
      </c>
    </row>
    <row r="478" customHeight="1" spans="1:7">
      <c r="A478" s="1" t="str">
        <f>IF(MAX($A$2:A477)=$B$1,"",MAX($A$2:A477)+1)</f>
        <v/>
      </c>
      <c r="B478" s="2" t="str">
        <f>IF(COUNT($A478)=0,"",VLOOKUP($A478,'物料分类表 R22'!$B$2:$H$1090,C478*2,FALSE))</f>
        <v/>
      </c>
      <c r="C478" s="2" t="e">
        <f>SUMIFS('物料分类表 R22'!#REF!,'物料分类表 R22'!$B$2:$B$1090,A478)</f>
        <v>#REF!</v>
      </c>
      <c r="D478" s="2" t="str">
        <f>IF(COUNT($A478)=0,"",IF(VLOOKUP($A478,'物料分类表 R22'!$B$2:$H$1090,D$3*2,FALSE)=0,D477,VLOOKUP($A478,'物料分类表 R22'!$B$2:$H$1090,D$3*2,FALSE)))</f>
        <v/>
      </c>
      <c r="E478" s="1" t="str">
        <f t="shared" si="22"/>
        <v/>
      </c>
      <c r="F478" s="1" t="str">
        <f t="shared" si="23"/>
        <v/>
      </c>
      <c r="G478" s="1" t="str">
        <f t="shared" si="24"/>
        <v/>
      </c>
    </row>
    <row r="479" customHeight="1" spans="1:7">
      <c r="A479" s="1" t="str">
        <f>IF(MAX($A$2:A478)=$B$1,"",MAX($A$2:A478)+1)</f>
        <v/>
      </c>
      <c r="B479" s="2" t="str">
        <f>IF(COUNT($A479)=0,"",VLOOKUP($A479,'物料分类表 R22'!$B$2:$H$1090,C479*2,FALSE))</f>
        <v/>
      </c>
      <c r="C479" s="2" t="e">
        <f>SUMIFS('物料分类表 R22'!#REF!,'物料分类表 R22'!$B$2:$B$1090,A479)</f>
        <v>#REF!</v>
      </c>
      <c r="D479" s="2" t="str">
        <f>IF(COUNT($A479)=0,"",IF(VLOOKUP($A479,'物料分类表 R22'!$B$2:$H$1090,D$3*2,FALSE)=0,D478,VLOOKUP($A479,'物料分类表 R22'!$B$2:$H$1090,D$3*2,FALSE)))</f>
        <v/>
      </c>
      <c r="E479" s="1" t="str">
        <f t="shared" si="22"/>
        <v/>
      </c>
      <c r="F479" s="1" t="str">
        <f t="shared" si="23"/>
        <v/>
      </c>
      <c r="G479" s="1" t="str">
        <f t="shared" si="24"/>
        <v/>
      </c>
    </row>
    <row r="480" customHeight="1" spans="1:7">
      <c r="A480" s="1" t="str">
        <f>IF(MAX($A$2:A479)=$B$1,"",MAX($A$2:A479)+1)</f>
        <v/>
      </c>
      <c r="B480" s="2" t="str">
        <f>IF(COUNT($A480)=0,"",VLOOKUP($A480,'物料分类表 R22'!$B$2:$H$1090,C480*2,FALSE))</f>
        <v/>
      </c>
      <c r="C480" s="2" t="e">
        <f>SUMIFS('物料分类表 R22'!#REF!,'物料分类表 R22'!$B$2:$B$1090,A480)</f>
        <v>#REF!</v>
      </c>
      <c r="D480" s="2" t="str">
        <f>IF(COUNT($A480)=0,"",IF(VLOOKUP($A480,'物料分类表 R22'!$B$2:$H$1090,D$3*2,FALSE)=0,D479,VLOOKUP($A480,'物料分类表 R22'!$B$2:$H$1090,D$3*2,FALSE)))</f>
        <v/>
      </c>
      <c r="E480" s="1" t="str">
        <f t="shared" si="22"/>
        <v/>
      </c>
      <c r="F480" s="1" t="str">
        <f t="shared" si="23"/>
        <v/>
      </c>
      <c r="G480" s="1" t="str">
        <f t="shared" si="24"/>
        <v/>
      </c>
    </row>
    <row r="481" customHeight="1" spans="1:7">
      <c r="A481" s="1" t="str">
        <f>IF(MAX($A$2:A480)=$B$1,"",MAX($A$2:A480)+1)</f>
        <v/>
      </c>
      <c r="B481" s="2" t="str">
        <f>IF(COUNT($A481)=0,"",VLOOKUP($A481,'物料分类表 R22'!$B$2:$H$1090,C481*2,FALSE))</f>
        <v/>
      </c>
      <c r="C481" s="2" t="e">
        <f>SUMIFS('物料分类表 R22'!#REF!,'物料分类表 R22'!$B$2:$B$1090,A481)</f>
        <v>#REF!</v>
      </c>
      <c r="D481" s="2" t="str">
        <f>IF(COUNT($A481)=0,"",IF(VLOOKUP($A481,'物料分类表 R22'!$B$2:$H$1090,D$3*2,FALSE)=0,D480,VLOOKUP($A481,'物料分类表 R22'!$B$2:$H$1090,D$3*2,FALSE)))</f>
        <v/>
      </c>
      <c r="E481" s="1" t="str">
        <f t="shared" si="22"/>
        <v/>
      </c>
      <c r="F481" s="1" t="str">
        <f t="shared" si="23"/>
        <v/>
      </c>
      <c r="G481" s="1" t="str">
        <f t="shared" si="24"/>
        <v/>
      </c>
    </row>
    <row r="482" customHeight="1" spans="1:7">
      <c r="A482" s="1" t="str">
        <f>IF(MAX($A$2:A481)=$B$1,"",MAX($A$2:A481)+1)</f>
        <v/>
      </c>
      <c r="B482" s="2" t="str">
        <f>IF(COUNT($A482)=0,"",VLOOKUP($A482,'物料分类表 R22'!$B$2:$H$1090,C482*2,FALSE))</f>
        <v/>
      </c>
      <c r="C482" s="2" t="e">
        <f>SUMIFS('物料分类表 R22'!#REF!,'物料分类表 R22'!$B$2:$B$1090,A482)</f>
        <v>#REF!</v>
      </c>
      <c r="D482" s="2" t="str">
        <f>IF(COUNT($A482)=0,"",IF(VLOOKUP($A482,'物料分类表 R22'!$B$2:$H$1090,D$3*2,FALSE)=0,D481,VLOOKUP($A482,'物料分类表 R22'!$B$2:$H$1090,D$3*2,FALSE)))</f>
        <v/>
      </c>
      <c r="E482" s="1" t="str">
        <f t="shared" si="22"/>
        <v/>
      </c>
      <c r="F482" s="1" t="str">
        <f t="shared" si="23"/>
        <v/>
      </c>
      <c r="G482" s="1" t="str">
        <f t="shared" si="24"/>
        <v/>
      </c>
    </row>
    <row r="483" customHeight="1" spans="1:7">
      <c r="A483" s="1" t="str">
        <f>IF(MAX($A$2:A482)=$B$1,"",MAX($A$2:A482)+1)</f>
        <v/>
      </c>
      <c r="B483" s="2" t="str">
        <f>IF(COUNT($A483)=0,"",VLOOKUP($A483,'物料分类表 R22'!$B$2:$H$1090,C483*2,FALSE))</f>
        <v/>
      </c>
      <c r="C483" s="2" t="e">
        <f>SUMIFS('物料分类表 R22'!#REF!,'物料分类表 R22'!$B$2:$B$1090,A483)</f>
        <v>#REF!</v>
      </c>
      <c r="D483" s="2" t="str">
        <f>IF(COUNT($A483)=0,"",IF(VLOOKUP($A483,'物料分类表 R22'!$B$2:$H$1090,D$3*2,FALSE)=0,D482,VLOOKUP($A483,'物料分类表 R22'!$B$2:$H$1090,D$3*2,FALSE)))</f>
        <v/>
      </c>
      <c r="E483" s="1" t="str">
        <f t="shared" si="22"/>
        <v/>
      </c>
      <c r="F483" s="1" t="str">
        <f t="shared" si="23"/>
        <v/>
      </c>
      <c r="G483" s="1" t="str">
        <f t="shared" si="24"/>
        <v/>
      </c>
    </row>
    <row r="484" customHeight="1" spans="1:7">
      <c r="A484" s="1" t="str">
        <f>IF(MAX($A$2:A483)=$B$1,"",MAX($A$2:A483)+1)</f>
        <v/>
      </c>
      <c r="B484" s="2" t="str">
        <f>IF(COUNT($A484)=0,"",VLOOKUP($A484,'物料分类表 R22'!$B$2:$H$1090,C484*2,FALSE))</f>
        <v/>
      </c>
      <c r="C484" s="2" t="e">
        <f>SUMIFS('物料分类表 R22'!#REF!,'物料分类表 R22'!$B$2:$B$1090,A484)</f>
        <v>#REF!</v>
      </c>
      <c r="D484" s="2" t="str">
        <f>IF(COUNT($A484)=0,"",IF(VLOOKUP($A484,'物料分类表 R22'!$B$2:$H$1090,D$3*2,FALSE)=0,D483,VLOOKUP($A484,'物料分类表 R22'!$B$2:$H$1090,D$3*2,FALSE)))</f>
        <v/>
      </c>
      <c r="E484" s="1" t="str">
        <f t="shared" si="22"/>
        <v/>
      </c>
      <c r="F484" s="1" t="str">
        <f t="shared" si="23"/>
        <v/>
      </c>
      <c r="G484" s="1" t="str">
        <f t="shared" si="24"/>
        <v/>
      </c>
    </row>
    <row r="485" customHeight="1" spans="1:7">
      <c r="A485" s="1" t="str">
        <f>IF(MAX($A$2:A484)=$B$1,"",MAX($A$2:A484)+1)</f>
        <v/>
      </c>
      <c r="B485" s="2" t="str">
        <f>IF(COUNT($A485)=0,"",VLOOKUP($A485,'物料分类表 R22'!$B$2:$H$1090,C485*2,FALSE))</f>
        <v/>
      </c>
      <c r="C485" s="2" t="e">
        <f>SUMIFS('物料分类表 R22'!#REF!,'物料分类表 R22'!$B$2:$B$1090,A485)</f>
        <v>#REF!</v>
      </c>
      <c r="D485" s="2" t="str">
        <f>IF(COUNT($A485)=0,"",IF(VLOOKUP($A485,'物料分类表 R22'!$B$2:$H$1090,D$3*2,FALSE)=0,D484,VLOOKUP($A485,'物料分类表 R22'!$B$2:$H$1090,D$3*2,FALSE)))</f>
        <v/>
      </c>
      <c r="E485" s="1" t="str">
        <f t="shared" si="22"/>
        <v/>
      </c>
      <c r="F485" s="1" t="str">
        <f t="shared" si="23"/>
        <v/>
      </c>
      <c r="G485" s="1" t="str">
        <f t="shared" si="24"/>
        <v/>
      </c>
    </row>
    <row r="486" customHeight="1" spans="1:7">
      <c r="A486" s="1" t="str">
        <f>IF(MAX($A$2:A485)=$B$1,"",MAX($A$2:A485)+1)</f>
        <v/>
      </c>
      <c r="B486" s="2" t="str">
        <f>IF(COUNT($A486)=0,"",VLOOKUP($A486,'物料分类表 R22'!$B$2:$H$1090,C486*2,FALSE))</f>
        <v/>
      </c>
      <c r="C486" s="2" t="e">
        <f>SUMIFS('物料分类表 R22'!#REF!,'物料分类表 R22'!$B$2:$B$1090,A486)</f>
        <v>#REF!</v>
      </c>
      <c r="D486" s="2" t="str">
        <f>IF(COUNT($A486)=0,"",IF(VLOOKUP($A486,'物料分类表 R22'!$B$2:$H$1090,D$3*2,FALSE)=0,D485,VLOOKUP($A486,'物料分类表 R22'!$B$2:$H$1090,D$3*2,FALSE)))</f>
        <v/>
      </c>
      <c r="E486" s="1" t="str">
        <f t="shared" si="22"/>
        <v/>
      </c>
      <c r="F486" s="1" t="str">
        <f t="shared" si="23"/>
        <v/>
      </c>
      <c r="G486" s="1" t="str">
        <f t="shared" si="24"/>
        <v/>
      </c>
    </row>
    <row r="487" customHeight="1" spans="1:7">
      <c r="A487" s="1" t="str">
        <f>IF(MAX($A$2:A486)=$B$1,"",MAX($A$2:A486)+1)</f>
        <v/>
      </c>
      <c r="B487" s="2" t="str">
        <f>IF(COUNT($A487)=0,"",VLOOKUP($A487,'物料分类表 R22'!$B$2:$H$1090,C487*2,FALSE))</f>
        <v/>
      </c>
      <c r="C487" s="2" t="e">
        <f>SUMIFS('物料分类表 R22'!#REF!,'物料分类表 R22'!$B$2:$B$1090,A487)</f>
        <v>#REF!</v>
      </c>
      <c r="D487" s="2" t="str">
        <f>IF(COUNT($A487)=0,"",IF(VLOOKUP($A487,'物料分类表 R22'!$B$2:$H$1090,D$3*2,FALSE)=0,D486,VLOOKUP($A487,'物料分类表 R22'!$B$2:$H$1090,D$3*2,FALSE)))</f>
        <v/>
      </c>
      <c r="E487" s="1" t="str">
        <f t="shared" si="22"/>
        <v/>
      </c>
      <c r="F487" s="1" t="str">
        <f t="shared" si="23"/>
        <v/>
      </c>
      <c r="G487" s="1" t="str">
        <f t="shared" si="24"/>
        <v/>
      </c>
    </row>
    <row r="488" customHeight="1" spans="1:7">
      <c r="A488" s="1" t="str">
        <f>IF(MAX($A$2:A487)=$B$1,"",MAX($A$2:A487)+1)</f>
        <v/>
      </c>
      <c r="B488" s="2" t="str">
        <f>IF(COUNT($A488)=0,"",VLOOKUP($A488,'物料分类表 R22'!$B$2:$H$1090,C488*2,FALSE))</f>
        <v/>
      </c>
      <c r="C488" s="2" t="e">
        <f>SUMIFS('物料分类表 R22'!#REF!,'物料分类表 R22'!$B$2:$B$1090,A488)</f>
        <v>#REF!</v>
      </c>
      <c r="D488" s="2" t="str">
        <f>IF(COUNT($A488)=0,"",IF(VLOOKUP($A488,'物料分类表 R22'!$B$2:$H$1090,D$3*2,FALSE)=0,D487,VLOOKUP($A488,'物料分类表 R22'!$B$2:$H$1090,D$3*2,FALSE)))</f>
        <v/>
      </c>
      <c r="E488" s="1" t="str">
        <f t="shared" si="22"/>
        <v/>
      </c>
      <c r="F488" s="1" t="str">
        <f t="shared" si="23"/>
        <v/>
      </c>
      <c r="G488" s="1" t="str">
        <f t="shared" si="24"/>
        <v/>
      </c>
    </row>
    <row r="489" customHeight="1" spans="1:7">
      <c r="A489" s="1" t="str">
        <f>IF(MAX($A$2:A488)=$B$1,"",MAX($A$2:A488)+1)</f>
        <v/>
      </c>
      <c r="B489" s="2" t="str">
        <f>IF(COUNT($A489)=0,"",VLOOKUP($A489,'物料分类表 R22'!$B$2:$H$1090,C489*2,FALSE))</f>
        <v/>
      </c>
      <c r="C489" s="2" t="e">
        <f>SUMIFS('物料分类表 R22'!#REF!,'物料分类表 R22'!$B$2:$B$1090,A489)</f>
        <v>#REF!</v>
      </c>
      <c r="D489" s="2" t="str">
        <f>IF(COUNT($A489)=0,"",IF(VLOOKUP($A489,'物料分类表 R22'!$B$2:$H$1090,D$3*2,FALSE)=0,D488,VLOOKUP($A489,'物料分类表 R22'!$B$2:$H$1090,D$3*2,FALSE)))</f>
        <v/>
      </c>
      <c r="E489" s="1" t="str">
        <f t="shared" si="22"/>
        <v/>
      </c>
      <c r="F489" s="1" t="str">
        <f t="shared" si="23"/>
        <v/>
      </c>
      <c r="G489" s="1" t="str">
        <f t="shared" si="24"/>
        <v/>
      </c>
    </row>
    <row r="490" customHeight="1" spans="1:7">
      <c r="A490" s="1" t="str">
        <f>IF(MAX($A$2:A489)=$B$1,"",MAX($A$2:A489)+1)</f>
        <v/>
      </c>
      <c r="B490" s="2" t="str">
        <f>IF(COUNT($A490)=0,"",VLOOKUP($A490,'物料分类表 R22'!$B$2:$H$1090,C490*2,FALSE))</f>
        <v/>
      </c>
      <c r="C490" s="2" t="e">
        <f>SUMIFS('物料分类表 R22'!#REF!,'物料分类表 R22'!$B$2:$B$1090,A490)</f>
        <v>#REF!</v>
      </c>
      <c r="D490" s="2" t="str">
        <f>IF(COUNT($A490)=0,"",IF(VLOOKUP($A490,'物料分类表 R22'!$B$2:$H$1090,D$3*2,FALSE)=0,D489,VLOOKUP($A490,'物料分类表 R22'!$B$2:$H$1090,D$3*2,FALSE)))</f>
        <v/>
      </c>
      <c r="E490" s="1" t="str">
        <f t="shared" si="22"/>
        <v/>
      </c>
      <c r="F490" s="1" t="str">
        <f t="shared" si="23"/>
        <v/>
      </c>
      <c r="G490" s="1" t="str">
        <f t="shared" si="24"/>
        <v/>
      </c>
    </row>
    <row r="491" customHeight="1" spans="1:7">
      <c r="A491" s="1" t="str">
        <f>IF(MAX($A$2:A490)=$B$1,"",MAX($A$2:A490)+1)</f>
        <v/>
      </c>
      <c r="B491" s="2" t="str">
        <f>IF(COUNT($A491)=0,"",VLOOKUP($A491,'物料分类表 R22'!$B$2:$H$1090,C491*2,FALSE))</f>
        <v/>
      </c>
      <c r="C491" s="2" t="e">
        <f>SUMIFS('物料分类表 R22'!#REF!,'物料分类表 R22'!$B$2:$B$1090,A491)</f>
        <v>#REF!</v>
      </c>
      <c r="D491" s="2" t="str">
        <f>IF(COUNT($A491)=0,"",IF(VLOOKUP($A491,'物料分类表 R22'!$B$2:$H$1090,D$3*2,FALSE)=0,D490,VLOOKUP($A491,'物料分类表 R22'!$B$2:$H$1090,D$3*2,FALSE)))</f>
        <v/>
      </c>
      <c r="E491" s="1" t="str">
        <f t="shared" ref="E491:E500" si="25">IF(COUNT($A491)=0,"",VLOOKUP(MID($D491,1,1),$P:$Q,2,FALSE))</f>
        <v/>
      </c>
      <c r="F491" s="1" t="str">
        <f t="shared" ref="F491:F500" si="26">IF(COUNT($A491)=0,"",VLOOKUP(MID($D491,1,2),$P:$Q,2,FALSE))</f>
        <v/>
      </c>
      <c r="G491" s="1" t="str">
        <f t="shared" ref="G491:G500" si="27">IF(COUNT($A491)=0,"",IF(C491=4,IF(COUNT($A491)=0,"",VLOOKUP(MID($D491,1,3),$P:$Q,2,FALSE)),""))</f>
        <v/>
      </c>
    </row>
    <row r="492" customHeight="1" spans="1:7">
      <c r="A492" s="1" t="str">
        <f>IF(MAX($A$2:A491)=$B$1,"",MAX($A$2:A491)+1)</f>
        <v/>
      </c>
      <c r="B492" s="2" t="str">
        <f>IF(COUNT($A492)=0,"",VLOOKUP($A492,'物料分类表 R22'!$B$2:$H$1090,C492*2,FALSE))</f>
        <v/>
      </c>
      <c r="C492" s="2" t="e">
        <f>SUMIFS('物料分类表 R22'!#REF!,'物料分类表 R22'!$B$2:$B$1090,A492)</f>
        <v>#REF!</v>
      </c>
      <c r="D492" s="2" t="str">
        <f>IF(COUNT($A492)=0,"",IF(VLOOKUP($A492,'物料分类表 R22'!$B$2:$H$1090,D$3*2,FALSE)=0,D491,VLOOKUP($A492,'物料分类表 R22'!$B$2:$H$1090,D$3*2,FALSE)))</f>
        <v/>
      </c>
      <c r="E492" s="1" t="str">
        <f t="shared" si="25"/>
        <v/>
      </c>
      <c r="F492" s="1" t="str">
        <f t="shared" si="26"/>
        <v/>
      </c>
      <c r="G492" s="1" t="str">
        <f t="shared" si="27"/>
        <v/>
      </c>
    </row>
    <row r="493" customHeight="1" spans="1:7">
      <c r="A493" s="1" t="str">
        <f>IF(MAX($A$2:A492)=$B$1,"",MAX($A$2:A492)+1)</f>
        <v/>
      </c>
      <c r="B493" s="2" t="str">
        <f>IF(COUNT($A493)=0,"",VLOOKUP($A493,'物料分类表 R22'!$B$2:$H$1090,C493*2,FALSE))</f>
        <v/>
      </c>
      <c r="C493" s="2" t="e">
        <f>SUMIFS('物料分类表 R22'!#REF!,'物料分类表 R22'!$B$2:$B$1090,A493)</f>
        <v>#REF!</v>
      </c>
      <c r="D493" s="2" t="str">
        <f>IF(COUNT($A493)=0,"",IF(VLOOKUP($A493,'物料分类表 R22'!$B$2:$H$1090,D$3*2,FALSE)=0,D492,VLOOKUP($A493,'物料分类表 R22'!$B$2:$H$1090,D$3*2,FALSE)))</f>
        <v/>
      </c>
      <c r="E493" s="1" t="str">
        <f t="shared" si="25"/>
        <v/>
      </c>
      <c r="F493" s="1" t="str">
        <f t="shared" si="26"/>
        <v/>
      </c>
      <c r="G493" s="1" t="str">
        <f t="shared" si="27"/>
        <v/>
      </c>
    </row>
    <row r="494" customHeight="1" spans="1:7">
      <c r="A494" s="1" t="str">
        <f>IF(MAX($A$2:A493)=$B$1,"",MAX($A$2:A493)+1)</f>
        <v/>
      </c>
      <c r="B494" s="2" t="str">
        <f>IF(COUNT($A494)=0,"",VLOOKUP($A494,'物料分类表 R22'!$B$2:$H$1090,C494*2,FALSE))</f>
        <v/>
      </c>
      <c r="C494" s="2" t="e">
        <f>SUMIFS('物料分类表 R22'!#REF!,'物料分类表 R22'!$B$2:$B$1090,A494)</f>
        <v>#REF!</v>
      </c>
      <c r="D494" s="2" t="str">
        <f>IF(COUNT($A494)=0,"",IF(VLOOKUP($A494,'物料分类表 R22'!$B$2:$H$1090,D$3*2,FALSE)=0,D493,VLOOKUP($A494,'物料分类表 R22'!$B$2:$H$1090,D$3*2,FALSE)))</f>
        <v/>
      </c>
      <c r="E494" s="1" t="str">
        <f t="shared" si="25"/>
        <v/>
      </c>
      <c r="F494" s="1" t="str">
        <f t="shared" si="26"/>
        <v/>
      </c>
      <c r="G494" s="1" t="str">
        <f t="shared" si="27"/>
        <v/>
      </c>
    </row>
    <row r="495" customHeight="1" spans="1:7">
      <c r="A495" s="1" t="str">
        <f>IF(MAX($A$2:A494)=$B$1,"",MAX($A$2:A494)+1)</f>
        <v/>
      </c>
      <c r="B495" s="2" t="str">
        <f>IF(COUNT($A495)=0,"",VLOOKUP($A495,'物料分类表 R22'!$B$2:$H$1090,C495*2,FALSE))</f>
        <v/>
      </c>
      <c r="C495" s="2" t="e">
        <f>SUMIFS('物料分类表 R22'!#REF!,'物料分类表 R22'!$B$2:$B$1090,A495)</f>
        <v>#REF!</v>
      </c>
      <c r="D495" s="2" t="str">
        <f>IF(COUNT($A495)=0,"",IF(VLOOKUP($A495,'物料分类表 R22'!$B$2:$H$1090,D$3*2,FALSE)=0,D494,VLOOKUP($A495,'物料分类表 R22'!$B$2:$H$1090,D$3*2,FALSE)))</f>
        <v/>
      </c>
      <c r="E495" s="1" t="str">
        <f t="shared" si="25"/>
        <v/>
      </c>
      <c r="F495" s="1" t="str">
        <f t="shared" si="26"/>
        <v/>
      </c>
      <c r="G495" s="1" t="str">
        <f t="shared" si="27"/>
        <v/>
      </c>
    </row>
    <row r="496" customHeight="1" spans="1:7">
      <c r="A496" s="1" t="str">
        <f>IF(MAX($A$2:A495)=$B$1,"",MAX($A$2:A495)+1)</f>
        <v/>
      </c>
      <c r="B496" s="2" t="str">
        <f>IF(COUNT($A496)=0,"",VLOOKUP($A496,'物料分类表 R22'!$B$2:$H$1090,C496*2,FALSE))</f>
        <v/>
      </c>
      <c r="C496" s="2" t="e">
        <f>SUMIFS('物料分类表 R22'!#REF!,'物料分类表 R22'!$B$2:$B$1090,A496)</f>
        <v>#REF!</v>
      </c>
      <c r="D496" s="2" t="str">
        <f>IF(COUNT($A496)=0,"",IF(VLOOKUP($A496,'物料分类表 R22'!$B$2:$H$1090,D$3*2,FALSE)=0,D495,VLOOKUP($A496,'物料分类表 R22'!$B$2:$H$1090,D$3*2,FALSE)))</f>
        <v/>
      </c>
      <c r="E496" s="1" t="str">
        <f t="shared" si="25"/>
        <v/>
      </c>
      <c r="F496" s="1" t="str">
        <f t="shared" si="26"/>
        <v/>
      </c>
      <c r="G496" s="1" t="str">
        <f t="shared" si="27"/>
        <v/>
      </c>
    </row>
    <row r="497" customHeight="1" spans="1:7">
      <c r="A497" s="1" t="str">
        <f>IF(MAX($A$2:A496)=$B$1,"",MAX($A$2:A496)+1)</f>
        <v/>
      </c>
      <c r="B497" s="2" t="str">
        <f>IF(COUNT($A497)=0,"",VLOOKUP($A497,'物料分类表 R22'!$B$2:$H$1090,C497*2,FALSE))</f>
        <v/>
      </c>
      <c r="C497" s="2" t="e">
        <f>SUMIFS('物料分类表 R22'!#REF!,'物料分类表 R22'!$B$2:$B$1090,A497)</f>
        <v>#REF!</v>
      </c>
      <c r="D497" s="2" t="str">
        <f>IF(COUNT($A497)=0,"",IF(VLOOKUP($A497,'物料分类表 R22'!$B$2:$H$1090,D$3*2,FALSE)=0,D496,VLOOKUP($A497,'物料分类表 R22'!$B$2:$H$1090,D$3*2,FALSE)))</f>
        <v/>
      </c>
      <c r="E497" s="1" t="str">
        <f t="shared" si="25"/>
        <v/>
      </c>
      <c r="F497" s="1" t="str">
        <f t="shared" si="26"/>
        <v/>
      </c>
      <c r="G497" s="1" t="str">
        <f t="shared" si="27"/>
        <v/>
      </c>
    </row>
    <row r="498" customHeight="1" spans="1:7">
      <c r="A498" s="1" t="str">
        <f>IF(MAX($A$2:A497)=$B$1,"",MAX($A$2:A497)+1)</f>
        <v/>
      </c>
      <c r="B498" s="2" t="str">
        <f>IF(COUNT($A498)=0,"",VLOOKUP($A498,'物料分类表 R22'!$B$2:$H$1090,C498*2,FALSE))</f>
        <v/>
      </c>
      <c r="C498" s="2" t="e">
        <f>SUMIFS('物料分类表 R22'!#REF!,'物料分类表 R22'!$B$2:$B$1090,A498)</f>
        <v>#REF!</v>
      </c>
      <c r="D498" s="2" t="str">
        <f>IF(COUNT($A498)=0,"",IF(VLOOKUP($A498,'物料分类表 R22'!$B$2:$H$1090,D$3*2,FALSE)=0,D497,VLOOKUP($A498,'物料分类表 R22'!$B$2:$H$1090,D$3*2,FALSE)))</f>
        <v/>
      </c>
      <c r="E498" s="1" t="str">
        <f t="shared" si="25"/>
        <v/>
      </c>
      <c r="F498" s="1" t="str">
        <f t="shared" si="26"/>
        <v/>
      </c>
      <c r="G498" s="1" t="str">
        <f t="shared" si="27"/>
        <v/>
      </c>
    </row>
    <row r="499" customHeight="1" spans="1:7">
      <c r="A499" s="1" t="str">
        <f>IF(MAX($A$2:A498)=$B$1,"",MAX($A$2:A498)+1)</f>
        <v/>
      </c>
      <c r="B499" s="2" t="str">
        <f>IF(COUNT($A499)=0,"",VLOOKUP($A499,'物料分类表 R22'!$B$2:$H$1090,C499*2,FALSE))</f>
        <v/>
      </c>
      <c r="C499" s="2" t="e">
        <f>SUMIFS('物料分类表 R22'!#REF!,'物料分类表 R22'!$B$2:$B$1090,A499)</f>
        <v>#REF!</v>
      </c>
      <c r="D499" s="2" t="str">
        <f>IF(COUNT($A499)=0,"",IF(VLOOKUP($A499,'物料分类表 R22'!$B$2:$H$1090,D$3*2,FALSE)=0,D498,VLOOKUP($A499,'物料分类表 R22'!$B$2:$H$1090,D$3*2,FALSE)))</f>
        <v/>
      </c>
      <c r="E499" s="1" t="str">
        <f t="shared" si="25"/>
        <v/>
      </c>
      <c r="F499" s="1" t="str">
        <f t="shared" si="26"/>
        <v/>
      </c>
      <c r="G499" s="1" t="str">
        <f t="shared" si="27"/>
        <v/>
      </c>
    </row>
    <row r="500" customHeight="1" spans="1:7">
      <c r="A500" s="1" t="str">
        <f>IF(MAX($A$2:A499)=$B$1,"",MAX($A$2:A499)+1)</f>
        <v/>
      </c>
      <c r="B500" s="2" t="str">
        <f>IF(COUNT($A500)=0,"",VLOOKUP($A500,'物料分类表 R22'!$B$2:$H$1090,C500*2,FALSE))</f>
        <v/>
      </c>
      <c r="C500" s="2" t="e">
        <f>SUMIFS('物料分类表 R22'!#REF!,'物料分类表 R22'!$B$2:$B$1090,A500)</f>
        <v>#REF!</v>
      </c>
      <c r="D500" s="2" t="str">
        <f>IF(COUNT($A500)=0,"",IF(VLOOKUP($A500,'物料分类表 R22'!$B$2:$H$1090,D$3*2,FALSE)=0,D499,VLOOKUP($A500,'物料分类表 R22'!$B$2:$H$1090,D$3*2,FALSE)))</f>
        <v/>
      </c>
      <c r="E500" s="1" t="str">
        <f t="shared" si="25"/>
        <v/>
      </c>
      <c r="F500" s="1" t="str">
        <f t="shared" si="26"/>
        <v/>
      </c>
      <c r="G500" s="1" t="str">
        <f t="shared" si="27"/>
        <v/>
      </c>
    </row>
  </sheetData>
  <autoFilter ref="A3:Q500">
    <extLst/>
  </autoFilter>
  <conditionalFormatting sqref="P$1:XFD$1048576 A1:N3 L4:N4 A386:N1048576 A4:H385 J5:N385">
    <cfRule type="cellIs" dxfId="0" priority="1" operator="equal">
      <formula>0</formula>
    </cfRule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V339"/>
  <sheetViews>
    <sheetView workbookViewId="0">
      <selection activeCell="H39" sqref="H39"/>
    </sheetView>
  </sheetViews>
  <sheetFormatPr defaultColWidth="9" defaultRowHeight="14.4"/>
  <cols>
    <col min="1" max="1" width="9" style="11"/>
    <col min="2" max="2" width="12" style="11" customWidth="1"/>
    <col min="3" max="5" width="9" style="11"/>
    <col min="6" max="6" width="22.2222222222222" style="11" customWidth="1"/>
    <col min="7" max="8" width="9" style="11"/>
    <col min="9" max="9" width="8.77777777777778" style="11" customWidth="1"/>
    <col min="10" max="10" width="22.4444444444444" style="11" customWidth="1"/>
    <col min="11" max="11" width="9.11111111111111" style="11" customWidth="1"/>
    <col min="12" max="12" width="13.2222222222222" style="11" customWidth="1"/>
    <col min="13" max="13" width="8.77777777777778" style="11" customWidth="1"/>
    <col min="14" max="14" width="22" style="11" customWidth="1"/>
    <col min="15" max="15" width="9.11111111111111" style="11" customWidth="1"/>
    <col min="16" max="16384" width="9" style="11"/>
  </cols>
  <sheetData>
    <row r="1" spans="1:21">
      <c r="A1" s="12" t="s">
        <v>2011</v>
      </c>
      <c r="B1" s="12" t="s">
        <v>2024</v>
      </c>
      <c r="C1" s="12" t="s">
        <v>2300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>
      <c r="A2" s="12">
        <v>1</v>
      </c>
      <c r="B2" s="13" t="s">
        <v>1</v>
      </c>
      <c r="C2" s="12" t="s">
        <v>2058</v>
      </c>
      <c r="D2" s="13" t="s">
        <v>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>
      <c r="A3" s="12">
        <v>2</v>
      </c>
      <c r="B3" s="13" t="s">
        <v>107</v>
      </c>
      <c r="C3" s="12" t="s">
        <v>104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>
      <c r="A4" s="12">
        <v>3</v>
      </c>
      <c r="B4" s="13" t="s">
        <v>427</v>
      </c>
      <c r="C4" s="12" t="s">
        <v>62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>
      <c r="A5" s="12">
        <v>4</v>
      </c>
      <c r="B5" s="13" t="s">
        <v>2057</v>
      </c>
      <c r="C5" s="12" t="s">
        <v>66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>
      <c r="A6" s="12">
        <v>5</v>
      </c>
      <c r="B6" s="13" t="s">
        <v>120</v>
      </c>
      <c r="C6" s="12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>
      <c r="A7" s="12">
        <v>6</v>
      </c>
      <c r="B7" s="13" t="s">
        <v>121</v>
      </c>
      <c r="C7" s="12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7</v>
      </c>
      <c r="B8" s="13" t="s">
        <v>123</v>
      </c>
      <c r="C8" s="12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>
      <c r="A9" s="12">
        <v>8</v>
      </c>
      <c r="B9" s="13" t="s">
        <v>119</v>
      </c>
      <c r="C9" s="1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>
      <c r="A10" s="12"/>
      <c r="C10" s="12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>
      <c r="A11" s="13" t="s">
        <v>1</v>
      </c>
      <c r="B11" s="13"/>
      <c r="C11" s="13"/>
      <c r="D11" s="13"/>
      <c r="E11" s="13" t="s">
        <v>107</v>
      </c>
      <c r="F11" s="13"/>
      <c r="G11" s="13"/>
      <c r="H11" s="13"/>
      <c r="I11" s="13" t="s">
        <v>427</v>
      </c>
      <c r="J11" s="13"/>
      <c r="K11" s="13"/>
      <c r="L11" s="13"/>
      <c r="M11" s="13" t="s">
        <v>2057</v>
      </c>
      <c r="N11" s="13"/>
      <c r="O11" s="13"/>
      <c r="P11" s="13"/>
      <c r="Q11" s="13"/>
      <c r="R11" s="13"/>
      <c r="S11" s="13"/>
      <c r="T11" s="13"/>
      <c r="U11" s="13"/>
    </row>
    <row r="12" spans="1:21">
      <c r="A12" s="12" t="s">
        <v>2011</v>
      </c>
      <c r="B12" s="12" t="s">
        <v>2024</v>
      </c>
      <c r="C12" s="12" t="s">
        <v>2300</v>
      </c>
      <c r="D12" s="13"/>
      <c r="E12" s="12" t="s">
        <v>2011</v>
      </c>
      <c r="F12" s="12" t="s">
        <v>2024</v>
      </c>
      <c r="G12" s="12" t="s">
        <v>2300</v>
      </c>
      <c r="H12" s="13"/>
      <c r="I12" s="12" t="s">
        <v>2011</v>
      </c>
      <c r="J12" s="12" t="s">
        <v>2024</v>
      </c>
      <c r="K12" s="12" t="s">
        <v>2300</v>
      </c>
      <c r="L12" s="13"/>
      <c r="M12" s="14" t="s">
        <v>2011</v>
      </c>
      <c r="N12" s="14" t="s">
        <v>2024</v>
      </c>
      <c r="O12" s="14" t="s">
        <v>2300</v>
      </c>
      <c r="P12" s="13"/>
      <c r="Q12" s="13"/>
      <c r="R12" s="13"/>
      <c r="S12" s="13"/>
      <c r="T12" s="13"/>
      <c r="U12" s="13"/>
    </row>
    <row r="13" spans="1:21">
      <c r="A13" s="12">
        <v>1</v>
      </c>
      <c r="B13" s="13" t="s">
        <v>133</v>
      </c>
      <c r="C13" s="12" t="s">
        <v>6</v>
      </c>
      <c r="D13" s="13"/>
      <c r="E13" s="12">
        <v>1</v>
      </c>
      <c r="F13" s="13" t="s">
        <v>108</v>
      </c>
      <c r="G13" s="12" t="s">
        <v>6</v>
      </c>
      <c r="H13" s="13"/>
      <c r="I13" s="12">
        <v>1</v>
      </c>
      <c r="J13" s="13" t="s">
        <v>2064</v>
      </c>
      <c r="K13" s="12" t="s">
        <v>122</v>
      </c>
      <c r="L13" s="13"/>
      <c r="M13" s="14">
        <v>1</v>
      </c>
      <c r="N13" s="13" t="s">
        <v>2089</v>
      </c>
      <c r="O13" s="12" t="s">
        <v>122</v>
      </c>
      <c r="P13" s="13"/>
      <c r="Q13" s="13"/>
      <c r="R13" s="13"/>
      <c r="S13" s="13"/>
      <c r="T13" s="13"/>
      <c r="U13" s="13"/>
    </row>
    <row r="14" spans="1:21">
      <c r="A14" s="12">
        <v>2</v>
      </c>
      <c r="B14" s="13" t="s">
        <v>31</v>
      </c>
      <c r="C14" s="12" t="s">
        <v>12</v>
      </c>
      <c r="D14" s="13"/>
      <c r="E14" s="12">
        <v>2</v>
      </c>
      <c r="F14" s="13" t="s">
        <v>113</v>
      </c>
      <c r="G14" s="12" t="s">
        <v>12</v>
      </c>
      <c r="H14" s="13"/>
      <c r="I14" s="12">
        <v>2</v>
      </c>
      <c r="J14" s="13" t="s">
        <v>2065</v>
      </c>
      <c r="K14" s="12" t="s">
        <v>6</v>
      </c>
      <c r="L14" s="13"/>
      <c r="M14" s="14">
        <v>2</v>
      </c>
      <c r="N14" s="13" t="s">
        <v>2091</v>
      </c>
      <c r="O14" s="12" t="s">
        <v>6</v>
      </c>
      <c r="P14" s="13"/>
      <c r="Q14" s="13"/>
      <c r="R14" s="13"/>
      <c r="S14" s="13"/>
      <c r="T14" s="13"/>
      <c r="U14" s="13"/>
    </row>
    <row r="15" spans="1:21">
      <c r="A15" s="12">
        <v>3</v>
      </c>
      <c r="B15" s="13" t="s">
        <v>41</v>
      </c>
      <c r="C15" s="12" t="s">
        <v>17</v>
      </c>
      <c r="D15" s="13"/>
      <c r="E15" s="12">
        <v>3</v>
      </c>
      <c r="F15" s="13" t="s">
        <v>115</v>
      </c>
      <c r="G15" s="12" t="s">
        <v>17</v>
      </c>
      <c r="H15" s="13"/>
      <c r="I15" s="12">
        <v>3</v>
      </c>
      <c r="J15" s="13" t="s">
        <v>2067</v>
      </c>
      <c r="K15" s="12" t="s">
        <v>12</v>
      </c>
      <c r="L15" s="13"/>
      <c r="M15" s="14"/>
      <c r="N15" s="13"/>
      <c r="O15" s="12"/>
      <c r="P15" s="13"/>
      <c r="Q15" s="13"/>
      <c r="R15" s="13"/>
      <c r="S15" s="13"/>
      <c r="T15" s="13"/>
      <c r="U15" s="13"/>
    </row>
    <row r="16" spans="1:21">
      <c r="A16" s="12">
        <v>4</v>
      </c>
      <c r="B16" s="13" t="s">
        <v>28</v>
      </c>
      <c r="C16" s="12" t="s">
        <v>22</v>
      </c>
      <c r="D16" s="13"/>
      <c r="E16" s="12">
        <v>4</v>
      </c>
      <c r="F16" s="13" t="s">
        <v>117</v>
      </c>
      <c r="G16" s="12" t="s">
        <v>22</v>
      </c>
      <c r="H16" s="13"/>
      <c r="I16" s="12">
        <v>4</v>
      </c>
      <c r="J16" s="13" t="s">
        <v>482</v>
      </c>
      <c r="K16" s="12" t="s">
        <v>17</v>
      </c>
      <c r="L16" s="13"/>
      <c r="M16" s="13" t="s">
        <v>2089</v>
      </c>
      <c r="N16" s="13"/>
      <c r="O16" s="12"/>
      <c r="P16" s="13"/>
      <c r="Q16" s="13"/>
      <c r="R16" s="13"/>
      <c r="S16" s="13"/>
      <c r="T16" s="13"/>
      <c r="U16" s="13"/>
    </row>
    <row r="17" spans="1:21">
      <c r="A17" s="12">
        <v>5</v>
      </c>
      <c r="B17" s="13" t="s">
        <v>35</v>
      </c>
      <c r="C17" s="12" t="s">
        <v>27</v>
      </c>
      <c r="D17" s="13"/>
      <c r="E17" s="13"/>
      <c r="F17" s="13"/>
      <c r="G17" s="13"/>
      <c r="H17" s="13"/>
      <c r="I17" s="12">
        <v>5</v>
      </c>
      <c r="J17" s="13" t="s">
        <v>2070</v>
      </c>
      <c r="K17" s="12" t="s">
        <v>22</v>
      </c>
      <c r="L17" s="13"/>
      <c r="M17" s="14" t="s">
        <v>2011</v>
      </c>
      <c r="N17" s="15" t="s">
        <v>2024</v>
      </c>
      <c r="O17" s="15" t="s">
        <v>2300</v>
      </c>
      <c r="P17" s="13"/>
      <c r="Q17" s="13"/>
      <c r="R17" s="13"/>
      <c r="S17" s="13"/>
      <c r="T17" s="13"/>
      <c r="U17" s="13"/>
    </row>
    <row r="18" spans="1:21">
      <c r="A18" s="12">
        <v>6</v>
      </c>
      <c r="B18" s="13" t="s">
        <v>95</v>
      </c>
      <c r="C18" s="12" t="s">
        <v>34</v>
      </c>
      <c r="D18" s="13"/>
      <c r="E18" s="13"/>
      <c r="F18" s="13"/>
      <c r="G18" s="13"/>
      <c r="H18" s="13"/>
      <c r="I18" s="12">
        <v>6</v>
      </c>
      <c r="J18" s="13" t="s">
        <v>2072</v>
      </c>
      <c r="K18" s="12" t="s">
        <v>27</v>
      </c>
      <c r="L18" s="13"/>
      <c r="M18" s="14">
        <v>1</v>
      </c>
      <c r="N18" s="13" t="s">
        <v>2278</v>
      </c>
      <c r="O18" s="12" t="s">
        <v>2301</v>
      </c>
      <c r="P18" s="13"/>
      <c r="Q18" s="13"/>
      <c r="R18" s="13"/>
      <c r="S18" s="13"/>
      <c r="T18" s="13"/>
      <c r="U18" s="13"/>
    </row>
    <row r="19" spans="1:21">
      <c r="A19" s="12"/>
      <c r="B19" s="13"/>
      <c r="C19" s="12"/>
      <c r="D19" s="13"/>
      <c r="E19" s="13"/>
      <c r="F19" s="13"/>
      <c r="G19" s="13"/>
      <c r="H19" s="13"/>
      <c r="I19" s="12">
        <v>7</v>
      </c>
      <c r="J19" s="13" t="s">
        <v>2074</v>
      </c>
      <c r="K19" s="12" t="s">
        <v>34</v>
      </c>
      <c r="L19" s="13"/>
      <c r="M19" s="16">
        <v>2</v>
      </c>
      <c r="N19" s="13" t="s">
        <v>1909</v>
      </c>
      <c r="O19" s="12" t="s">
        <v>2302</v>
      </c>
      <c r="P19" s="13"/>
      <c r="Q19" s="13"/>
      <c r="R19" s="13"/>
      <c r="S19" s="13"/>
      <c r="T19" s="13"/>
      <c r="U19" s="13"/>
    </row>
    <row r="20" spans="1:21">
      <c r="A20" s="13" t="s">
        <v>133</v>
      </c>
      <c r="B20" s="13"/>
      <c r="C20" s="13"/>
      <c r="D20" s="13"/>
      <c r="E20" s="13" t="s">
        <v>108</v>
      </c>
      <c r="F20" s="13"/>
      <c r="G20" s="13"/>
      <c r="H20" s="13"/>
      <c r="I20" s="12">
        <v>8</v>
      </c>
      <c r="J20" s="13" t="s">
        <v>2076</v>
      </c>
      <c r="K20" s="12" t="s">
        <v>4</v>
      </c>
      <c r="L20" s="13"/>
      <c r="M20" s="16">
        <v>3</v>
      </c>
      <c r="N20" s="13" t="s">
        <v>1911</v>
      </c>
      <c r="O20" s="12" t="s">
        <v>2303</v>
      </c>
      <c r="P20" s="13"/>
      <c r="Q20" s="13"/>
      <c r="R20" s="13"/>
      <c r="S20" s="13"/>
      <c r="T20" s="13"/>
      <c r="U20" s="13"/>
    </row>
    <row r="21" spans="1:21">
      <c r="A21" s="12" t="s">
        <v>2011</v>
      </c>
      <c r="B21" s="12" t="s">
        <v>2024</v>
      </c>
      <c r="C21" s="12" t="s">
        <v>2300</v>
      </c>
      <c r="D21" s="13"/>
      <c r="E21" s="12" t="s">
        <v>2011</v>
      </c>
      <c r="F21" s="12" t="s">
        <v>2024</v>
      </c>
      <c r="G21" s="12" t="s">
        <v>2300</v>
      </c>
      <c r="H21" s="13"/>
      <c r="I21" s="12">
        <v>9</v>
      </c>
      <c r="J21" s="13" t="s">
        <v>2078</v>
      </c>
      <c r="K21" s="12" t="s">
        <v>66</v>
      </c>
      <c r="L21" s="13"/>
      <c r="M21" s="14">
        <v>4</v>
      </c>
      <c r="N21" s="13" t="s">
        <v>1913</v>
      </c>
      <c r="O21" s="12" t="s">
        <v>2304</v>
      </c>
      <c r="P21" s="13"/>
      <c r="Q21" s="13"/>
      <c r="R21" s="13"/>
      <c r="S21" s="13"/>
      <c r="T21" s="13"/>
      <c r="U21" s="13"/>
    </row>
    <row r="22" spans="1:21">
      <c r="A22" s="12">
        <v>1</v>
      </c>
      <c r="B22" s="13" t="s">
        <v>5</v>
      </c>
      <c r="C22" s="12" t="s">
        <v>122</v>
      </c>
      <c r="D22" s="13"/>
      <c r="E22" s="12">
        <v>1</v>
      </c>
      <c r="F22" s="13" t="s">
        <v>2099</v>
      </c>
      <c r="G22" s="12" t="s">
        <v>110</v>
      </c>
      <c r="H22" s="13"/>
      <c r="I22" s="12">
        <v>10</v>
      </c>
      <c r="J22" s="13" t="s">
        <v>675</v>
      </c>
      <c r="K22" s="12" t="s">
        <v>70</v>
      </c>
      <c r="L22" s="13"/>
      <c r="M22" s="16">
        <v>5</v>
      </c>
      <c r="N22" s="13" t="s">
        <v>1915</v>
      </c>
      <c r="O22" s="12" t="s">
        <v>2305</v>
      </c>
      <c r="P22" s="13"/>
      <c r="Q22" s="13"/>
      <c r="R22" s="13"/>
      <c r="S22" s="13"/>
      <c r="T22" s="13"/>
      <c r="U22" s="13"/>
    </row>
    <row r="23" spans="1:21">
      <c r="A23" s="12">
        <v>2</v>
      </c>
      <c r="B23" s="13" t="s">
        <v>11</v>
      </c>
      <c r="C23" s="12" t="s">
        <v>12</v>
      </c>
      <c r="D23" s="13"/>
      <c r="E23" s="12">
        <v>2</v>
      </c>
      <c r="F23" s="13" t="s">
        <v>187</v>
      </c>
      <c r="G23" s="12" t="s">
        <v>2306</v>
      </c>
      <c r="H23" s="13"/>
      <c r="I23" s="12">
        <v>11</v>
      </c>
      <c r="J23" s="13" t="s">
        <v>2081</v>
      </c>
      <c r="K23" s="12" t="s">
        <v>74</v>
      </c>
      <c r="L23" s="13"/>
      <c r="M23" s="16">
        <v>6</v>
      </c>
      <c r="N23" s="13" t="s">
        <v>2284</v>
      </c>
      <c r="O23" s="12" t="s">
        <v>114</v>
      </c>
      <c r="P23" s="13"/>
      <c r="Q23" s="13"/>
      <c r="R23" s="13"/>
      <c r="S23" s="13"/>
      <c r="T23" s="13"/>
      <c r="U23" s="13"/>
    </row>
    <row r="24" spans="1:21">
      <c r="A24" s="12">
        <v>3</v>
      </c>
      <c r="B24" s="13" t="s">
        <v>16</v>
      </c>
      <c r="C24" s="12" t="s">
        <v>17</v>
      </c>
      <c r="D24" s="13"/>
      <c r="E24" s="12">
        <v>3</v>
      </c>
      <c r="F24" s="13" t="s">
        <v>189</v>
      </c>
      <c r="G24" s="12" t="s">
        <v>2307</v>
      </c>
      <c r="H24" s="13"/>
      <c r="I24" s="12">
        <v>12</v>
      </c>
      <c r="J24" s="13" t="s">
        <v>716</v>
      </c>
      <c r="K24" s="12" t="s">
        <v>104</v>
      </c>
      <c r="L24" s="13"/>
      <c r="M24" s="14">
        <v>7</v>
      </c>
      <c r="N24" s="13" t="s">
        <v>1919</v>
      </c>
      <c r="O24" s="12" t="s">
        <v>2308</v>
      </c>
      <c r="P24" s="13"/>
      <c r="Q24" s="13"/>
      <c r="R24" s="13"/>
      <c r="S24" s="13"/>
      <c r="T24" s="13"/>
      <c r="U24" s="13"/>
    </row>
    <row r="25" spans="1:21">
      <c r="A25" s="12">
        <v>4</v>
      </c>
      <c r="B25" s="13" t="s">
        <v>21</v>
      </c>
      <c r="C25" s="12" t="s">
        <v>22</v>
      </c>
      <c r="D25" s="13"/>
      <c r="E25" s="12">
        <v>4</v>
      </c>
      <c r="F25" s="13" t="s">
        <v>191</v>
      </c>
      <c r="G25" s="12" t="s">
        <v>2309</v>
      </c>
      <c r="H25" s="13"/>
      <c r="I25" s="12">
        <v>13</v>
      </c>
      <c r="J25" s="13" t="s">
        <v>2084</v>
      </c>
      <c r="K25" s="12" t="s">
        <v>78</v>
      </c>
      <c r="L25" s="13"/>
      <c r="M25" s="16">
        <v>8</v>
      </c>
      <c r="N25" s="13" t="s">
        <v>2287</v>
      </c>
      <c r="O25" s="12" t="s">
        <v>2310</v>
      </c>
      <c r="P25" s="13"/>
      <c r="Q25" s="13"/>
      <c r="R25" s="13"/>
      <c r="S25" s="13"/>
      <c r="T25" s="13"/>
      <c r="U25" s="13"/>
    </row>
    <row r="26" spans="1:21">
      <c r="A26" s="12">
        <v>5</v>
      </c>
      <c r="B26" s="13" t="s">
        <v>26</v>
      </c>
      <c r="C26" s="12" t="s">
        <v>27</v>
      </c>
      <c r="D26" s="13"/>
      <c r="E26" s="12">
        <v>5</v>
      </c>
      <c r="F26" s="13" t="s">
        <v>193</v>
      </c>
      <c r="G26" s="12" t="s">
        <v>2311</v>
      </c>
      <c r="H26" s="13"/>
      <c r="I26" s="12">
        <v>14</v>
      </c>
      <c r="J26" s="13" t="s">
        <v>2086</v>
      </c>
      <c r="K26" s="12" t="s">
        <v>2312</v>
      </c>
      <c r="L26" s="13"/>
      <c r="M26" s="16">
        <v>9</v>
      </c>
      <c r="N26" s="13" t="s">
        <v>1923</v>
      </c>
      <c r="O26" s="12" t="s">
        <v>2313</v>
      </c>
      <c r="P26" s="13"/>
      <c r="Q26" s="13"/>
      <c r="R26" s="13"/>
      <c r="S26" s="13"/>
      <c r="T26" s="13"/>
      <c r="U26" s="13"/>
    </row>
    <row r="27" spans="1:21">
      <c r="A27" s="12">
        <v>6</v>
      </c>
      <c r="B27" s="13" t="s">
        <v>139</v>
      </c>
      <c r="C27" s="12" t="s">
        <v>34</v>
      </c>
      <c r="D27" s="13"/>
      <c r="E27" s="12">
        <v>6</v>
      </c>
      <c r="F27" s="13" t="s">
        <v>195</v>
      </c>
      <c r="G27" s="12" t="s">
        <v>2314</v>
      </c>
      <c r="H27" s="13"/>
      <c r="I27" s="12">
        <v>15</v>
      </c>
      <c r="J27" s="13" t="s">
        <v>721</v>
      </c>
      <c r="K27" s="12" t="s">
        <v>82</v>
      </c>
      <c r="L27" s="13"/>
      <c r="M27" s="14">
        <v>10</v>
      </c>
      <c r="N27" s="13" t="s">
        <v>2290</v>
      </c>
      <c r="O27" s="12" t="s">
        <v>2315</v>
      </c>
      <c r="P27" s="13"/>
      <c r="Q27" s="13"/>
      <c r="R27" s="13"/>
      <c r="S27" s="13"/>
      <c r="T27" s="13"/>
      <c r="U27" s="13"/>
    </row>
    <row r="28" spans="1:21">
      <c r="A28" s="12">
        <v>7</v>
      </c>
      <c r="B28" s="13" t="s">
        <v>2299</v>
      </c>
      <c r="C28" s="12" t="s">
        <v>4</v>
      </c>
      <c r="D28" s="13"/>
      <c r="E28" s="12">
        <v>7</v>
      </c>
      <c r="F28" s="13" t="s">
        <v>197</v>
      </c>
      <c r="G28" s="12" t="s">
        <v>2316</v>
      </c>
      <c r="H28" s="13"/>
      <c r="I28" s="13"/>
      <c r="J28" s="13"/>
      <c r="K28" s="13"/>
      <c r="L28" s="13"/>
      <c r="M28" s="13"/>
      <c r="N28" s="13"/>
      <c r="O28" s="12" t="s">
        <v>2317</v>
      </c>
      <c r="P28" s="13"/>
      <c r="Q28" s="13"/>
      <c r="R28" s="13"/>
      <c r="S28" s="13"/>
      <c r="T28" s="13"/>
      <c r="U28" s="13"/>
    </row>
    <row r="29" spans="1:21">
      <c r="A29" s="13"/>
      <c r="B29" s="13"/>
      <c r="C29" s="12"/>
      <c r="D29" s="13"/>
      <c r="E29" s="12">
        <v>8</v>
      </c>
      <c r="F29" s="13" t="s">
        <v>199</v>
      </c>
      <c r="G29" s="12" t="s">
        <v>2318</v>
      </c>
      <c r="H29" s="13"/>
      <c r="I29" s="13" t="s">
        <v>2064</v>
      </c>
      <c r="J29" s="13"/>
      <c r="K29" s="13"/>
      <c r="L29" s="13"/>
      <c r="M29" s="13" t="s">
        <v>2091</v>
      </c>
      <c r="N29" s="13"/>
      <c r="O29" s="12" t="s">
        <v>2317</v>
      </c>
      <c r="P29" s="13"/>
      <c r="Q29" s="13"/>
      <c r="R29" s="13"/>
      <c r="S29" s="13"/>
      <c r="T29" s="13"/>
      <c r="U29" s="13"/>
    </row>
    <row r="30" spans="1:21">
      <c r="A30" s="13" t="s">
        <v>31</v>
      </c>
      <c r="B30" s="13"/>
      <c r="C30" s="13"/>
      <c r="D30" s="13"/>
      <c r="E30" s="12">
        <v>9</v>
      </c>
      <c r="F30" s="13" t="s">
        <v>201</v>
      </c>
      <c r="G30" s="12" t="s">
        <v>2319</v>
      </c>
      <c r="H30" s="13"/>
      <c r="I30" s="12" t="s">
        <v>2011</v>
      </c>
      <c r="J30" s="12" t="s">
        <v>2024</v>
      </c>
      <c r="K30" s="12" t="s">
        <v>2300</v>
      </c>
      <c r="L30" s="13"/>
      <c r="M30" s="14" t="s">
        <v>2011</v>
      </c>
      <c r="N30" s="15" t="s">
        <v>2024</v>
      </c>
      <c r="O30" s="15" t="s">
        <v>2300</v>
      </c>
      <c r="P30" s="13"/>
      <c r="Q30" s="13"/>
      <c r="R30" s="13"/>
      <c r="S30" s="13"/>
      <c r="T30" s="13"/>
      <c r="U30" s="13"/>
    </row>
    <row r="31" spans="1:21">
      <c r="A31" s="12" t="s">
        <v>2011</v>
      </c>
      <c r="B31" s="12" t="s">
        <v>2024</v>
      </c>
      <c r="C31" s="12" t="s">
        <v>2300</v>
      </c>
      <c r="D31" s="13"/>
      <c r="E31" s="12">
        <v>10</v>
      </c>
      <c r="F31" s="13" t="s">
        <v>203</v>
      </c>
      <c r="G31" s="12" t="s">
        <v>2320</v>
      </c>
      <c r="H31" s="13"/>
      <c r="I31" s="12">
        <v>1</v>
      </c>
      <c r="J31" s="13" t="s">
        <v>493</v>
      </c>
      <c r="K31" s="12" t="s">
        <v>6</v>
      </c>
      <c r="L31" s="13"/>
      <c r="M31" s="14">
        <v>1</v>
      </c>
      <c r="N31" s="13" t="s">
        <v>1925</v>
      </c>
      <c r="O31" s="12" t="s">
        <v>110</v>
      </c>
      <c r="P31" s="13"/>
      <c r="Q31" s="13"/>
      <c r="R31" s="13"/>
      <c r="S31" s="13"/>
      <c r="T31" s="13"/>
      <c r="U31" s="13"/>
    </row>
    <row r="32" spans="1:21">
      <c r="A32" s="12">
        <v>1</v>
      </c>
      <c r="B32" s="13" t="s">
        <v>33</v>
      </c>
      <c r="C32" s="12" t="s">
        <v>6</v>
      </c>
      <c r="D32" s="13"/>
      <c r="E32" s="12">
        <v>11</v>
      </c>
      <c r="F32" s="13" t="s">
        <v>205</v>
      </c>
      <c r="G32" s="12" t="s">
        <v>2321</v>
      </c>
      <c r="H32" s="13"/>
      <c r="I32" s="12">
        <v>2</v>
      </c>
      <c r="J32" s="13" t="s">
        <v>2156</v>
      </c>
      <c r="K32" s="12" t="s">
        <v>12</v>
      </c>
      <c r="L32" s="13"/>
      <c r="M32" s="16">
        <v>2</v>
      </c>
      <c r="N32" s="13" t="s">
        <v>1927</v>
      </c>
      <c r="O32" s="12" t="s">
        <v>2322</v>
      </c>
      <c r="P32" s="13"/>
      <c r="Q32" s="13"/>
      <c r="R32" s="13"/>
      <c r="S32" s="13"/>
      <c r="T32" s="13"/>
      <c r="U32" s="13"/>
    </row>
    <row r="33" spans="1:21">
      <c r="A33" s="12">
        <v>2</v>
      </c>
      <c r="B33" s="13" t="s">
        <v>38</v>
      </c>
      <c r="C33" s="12" t="s">
        <v>17</v>
      </c>
      <c r="D33" s="13"/>
      <c r="E33" s="12">
        <v>12</v>
      </c>
      <c r="F33" s="13" t="s">
        <v>2101</v>
      </c>
      <c r="G33" s="12" t="s">
        <v>2323</v>
      </c>
      <c r="H33" s="13"/>
      <c r="I33" s="12">
        <v>3</v>
      </c>
      <c r="J33" s="13" t="s">
        <v>520</v>
      </c>
      <c r="K33" s="12" t="s">
        <v>2324</v>
      </c>
      <c r="L33" s="13"/>
      <c r="M33" s="16">
        <v>3</v>
      </c>
      <c r="N33" s="13" t="s">
        <v>1929</v>
      </c>
      <c r="O33" s="12" t="s">
        <v>2324</v>
      </c>
      <c r="P33" s="13"/>
      <c r="Q33" s="13"/>
      <c r="R33" s="13"/>
      <c r="S33" s="13"/>
      <c r="T33" s="13"/>
      <c r="U33" s="13"/>
    </row>
    <row r="34" spans="1:21">
      <c r="A34" s="12"/>
      <c r="B34" s="13"/>
      <c r="C34" s="12"/>
      <c r="D34" s="13"/>
      <c r="E34" s="12">
        <v>13</v>
      </c>
      <c r="F34" s="13" t="s">
        <v>209</v>
      </c>
      <c r="G34" s="12" t="s">
        <v>2325</v>
      </c>
      <c r="H34" s="13"/>
      <c r="I34" s="12">
        <v>4</v>
      </c>
      <c r="J34" s="13" t="s">
        <v>514</v>
      </c>
      <c r="K34" s="12" t="s">
        <v>2326</v>
      </c>
      <c r="L34" s="13"/>
      <c r="M34" s="14">
        <v>4</v>
      </c>
      <c r="N34" s="13" t="s">
        <v>1931</v>
      </c>
      <c r="O34" s="12" t="s">
        <v>2326</v>
      </c>
      <c r="P34" s="13"/>
      <c r="Q34" s="13"/>
      <c r="R34" s="13"/>
      <c r="S34" s="13"/>
      <c r="T34" s="13"/>
      <c r="U34" s="13"/>
    </row>
    <row r="35" spans="1:21">
      <c r="A35" s="12" t="s">
        <v>41</v>
      </c>
      <c r="B35" s="13"/>
      <c r="C35" s="12"/>
      <c r="D35" s="13"/>
      <c r="E35" s="12">
        <v>14</v>
      </c>
      <c r="F35" s="13" t="s">
        <v>2102</v>
      </c>
      <c r="G35" s="12" t="s">
        <v>2327</v>
      </c>
      <c r="H35" s="13"/>
      <c r="I35" s="12"/>
      <c r="J35" s="13"/>
      <c r="K35" s="12"/>
      <c r="L35" s="13"/>
      <c r="M35" s="16">
        <v>5</v>
      </c>
      <c r="N35" s="13" t="s">
        <v>2296</v>
      </c>
      <c r="O35" s="12" t="s">
        <v>2328</v>
      </c>
      <c r="P35" s="13"/>
      <c r="Q35" s="13"/>
      <c r="R35" s="13"/>
      <c r="S35" s="13"/>
      <c r="T35" s="13"/>
      <c r="U35" s="13"/>
    </row>
    <row r="36" spans="1:21">
      <c r="A36" s="12" t="s">
        <v>2011</v>
      </c>
      <c r="B36" s="12" t="s">
        <v>2024</v>
      </c>
      <c r="C36" s="12" t="s">
        <v>2300</v>
      </c>
      <c r="D36" s="13"/>
      <c r="E36" s="12">
        <v>15</v>
      </c>
      <c r="F36" s="13" t="s">
        <v>213</v>
      </c>
      <c r="G36" s="12" t="s">
        <v>2329</v>
      </c>
      <c r="H36" s="13"/>
      <c r="I36" s="12" t="s">
        <v>493</v>
      </c>
      <c r="J36" s="13"/>
      <c r="K36" s="12"/>
      <c r="L36" s="13"/>
      <c r="M36" s="16">
        <v>6</v>
      </c>
      <c r="N36" s="13" t="s">
        <v>1935</v>
      </c>
      <c r="O36" s="12" t="s">
        <v>2330</v>
      </c>
      <c r="P36" s="13"/>
      <c r="Q36" s="13"/>
      <c r="R36" s="13"/>
      <c r="S36" s="13"/>
      <c r="T36" s="13"/>
      <c r="U36" s="13"/>
    </row>
    <row r="37" spans="1:21">
      <c r="A37" s="12">
        <v>1</v>
      </c>
      <c r="B37" s="13" t="s">
        <v>43</v>
      </c>
      <c r="C37" s="12" t="s">
        <v>122</v>
      </c>
      <c r="D37" s="13"/>
      <c r="E37" s="12">
        <v>16</v>
      </c>
      <c r="F37" s="13" t="s">
        <v>215</v>
      </c>
      <c r="G37" s="12" t="s">
        <v>2331</v>
      </c>
      <c r="H37" s="13"/>
      <c r="I37" s="12" t="s">
        <v>2011</v>
      </c>
      <c r="J37" s="12" t="s">
        <v>2024</v>
      </c>
      <c r="K37" s="12" t="s">
        <v>2300</v>
      </c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>
      <c r="A38" s="12">
        <v>2</v>
      </c>
      <c r="B38" s="13" t="s">
        <v>47</v>
      </c>
      <c r="C38" s="12" t="s">
        <v>6</v>
      </c>
      <c r="D38" s="13"/>
      <c r="E38" s="12">
        <v>17</v>
      </c>
      <c r="F38" s="13" t="s">
        <v>335</v>
      </c>
      <c r="G38" s="12" t="s">
        <v>2332</v>
      </c>
      <c r="H38" s="13"/>
      <c r="I38" s="12">
        <v>1</v>
      </c>
      <c r="J38" s="13" t="s">
        <v>494</v>
      </c>
      <c r="K38" s="12" t="s">
        <v>122</v>
      </c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>
      <c r="A39" s="12">
        <v>3</v>
      </c>
      <c r="B39" s="13" t="s">
        <v>51</v>
      </c>
      <c r="C39" s="12" t="s">
        <v>12</v>
      </c>
      <c r="D39" s="13"/>
      <c r="E39" s="12">
        <v>18</v>
      </c>
      <c r="F39" s="13" t="s">
        <v>217</v>
      </c>
      <c r="G39" s="12" t="s">
        <v>2333</v>
      </c>
      <c r="H39" s="13"/>
      <c r="I39" s="12">
        <v>2</v>
      </c>
      <c r="J39" s="13" t="s">
        <v>496</v>
      </c>
      <c r="K39" s="12" t="s">
        <v>12</v>
      </c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>
      <c r="A40" s="12">
        <v>4</v>
      </c>
      <c r="B40" s="13" t="s">
        <v>54</v>
      </c>
      <c r="C40" s="12" t="s">
        <v>22</v>
      </c>
      <c r="D40" s="13"/>
      <c r="E40" s="12">
        <v>19</v>
      </c>
      <c r="F40" s="13" t="s">
        <v>219</v>
      </c>
      <c r="G40" s="12" t="s">
        <v>2334</v>
      </c>
      <c r="H40" s="13"/>
      <c r="I40" s="12">
        <v>3</v>
      </c>
      <c r="J40" s="13" t="s">
        <v>500</v>
      </c>
      <c r="K40" s="12" t="s">
        <v>17</v>
      </c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>
      <c r="A41" s="12">
        <v>5</v>
      </c>
      <c r="B41" s="13" t="s">
        <v>58</v>
      </c>
      <c r="C41" s="12" t="s">
        <v>27</v>
      </c>
      <c r="D41" s="13"/>
      <c r="E41" s="12">
        <v>20</v>
      </c>
      <c r="F41" s="13" t="s">
        <v>2103</v>
      </c>
      <c r="G41" s="12" t="s">
        <v>2335</v>
      </c>
      <c r="H41" s="13"/>
      <c r="I41" s="12">
        <v>4</v>
      </c>
      <c r="J41" s="13" t="s">
        <v>504</v>
      </c>
      <c r="K41" s="12" t="s">
        <v>22</v>
      </c>
      <c r="L41" s="13"/>
      <c r="M41" s="13"/>
      <c r="N41" s="13"/>
      <c r="O41" s="13"/>
      <c r="P41" s="13"/>
      <c r="Q41" s="13"/>
      <c r="R41" s="13"/>
      <c r="S41" s="13"/>
      <c r="T41" s="13"/>
      <c r="U41" s="13"/>
    </row>
    <row r="42" spans="1:21">
      <c r="A42" s="12">
        <v>6</v>
      </c>
      <c r="B42" s="13" t="s">
        <v>61</v>
      </c>
      <c r="C42" s="12" t="s">
        <v>34</v>
      </c>
      <c r="D42" s="13"/>
      <c r="E42" s="12">
        <v>21</v>
      </c>
      <c r="F42" s="13" t="s">
        <v>223</v>
      </c>
      <c r="G42" s="12" t="s">
        <v>2336</v>
      </c>
      <c r="H42" s="13"/>
      <c r="I42" s="12">
        <v>5</v>
      </c>
      <c r="J42" s="13" t="s">
        <v>502</v>
      </c>
      <c r="K42" s="12" t="s">
        <v>27</v>
      </c>
      <c r="L42" s="13"/>
      <c r="M42" s="13"/>
      <c r="N42" s="13"/>
      <c r="O42" s="13"/>
      <c r="P42" s="13"/>
      <c r="Q42" s="13"/>
      <c r="R42" s="13"/>
      <c r="S42" s="13"/>
      <c r="T42" s="13"/>
      <c r="U42" s="13"/>
    </row>
    <row r="43" spans="1:21">
      <c r="A43" s="12">
        <v>7</v>
      </c>
      <c r="B43" s="13" t="s">
        <v>65</v>
      </c>
      <c r="C43" s="12" t="s">
        <v>4</v>
      </c>
      <c r="D43" s="13"/>
      <c r="E43" s="12">
        <v>22</v>
      </c>
      <c r="F43" s="13" t="s">
        <v>225</v>
      </c>
      <c r="G43" s="12" t="s">
        <v>2337</v>
      </c>
      <c r="H43" s="13"/>
      <c r="I43" s="12">
        <v>6</v>
      </c>
      <c r="J43" s="13" t="s">
        <v>498</v>
      </c>
      <c r="K43" s="12" t="s">
        <v>34</v>
      </c>
      <c r="L43" s="13"/>
      <c r="M43" s="13"/>
      <c r="N43" s="13"/>
      <c r="O43" s="13"/>
      <c r="P43" s="13"/>
      <c r="Q43" s="13"/>
      <c r="R43" s="13"/>
      <c r="S43" s="13"/>
      <c r="T43" s="13"/>
      <c r="U43" s="13"/>
    </row>
    <row r="44" spans="1:21">
      <c r="A44" s="12">
        <v>8</v>
      </c>
      <c r="B44" s="13" t="s">
        <v>69</v>
      </c>
      <c r="C44" s="12" t="s">
        <v>44</v>
      </c>
      <c r="D44" s="13"/>
      <c r="E44" s="12">
        <v>23</v>
      </c>
      <c r="F44" s="13" t="s">
        <v>227</v>
      </c>
      <c r="G44" s="12" t="s">
        <v>2338</v>
      </c>
      <c r="H44" s="13"/>
      <c r="I44" s="12">
        <v>7</v>
      </c>
      <c r="J44" s="13" t="s">
        <v>506</v>
      </c>
      <c r="K44" s="12" t="s">
        <v>4</v>
      </c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1:21">
      <c r="A45" s="12">
        <v>9</v>
      </c>
      <c r="B45" s="13" t="s">
        <v>73</v>
      </c>
      <c r="C45" s="12" t="s">
        <v>48</v>
      </c>
      <c r="D45" s="13"/>
      <c r="E45" s="12">
        <v>24</v>
      </c>
      <c r="F45" s="13" t="s">
        <v>229</v>
      </c>
      <c r="G45" s="12" t="s">
        <v>2339</v>
      </c>
      <c r="H45" s="13"/>
      <c r="I45" s="12">
        <v>8</v>
      </c>
      <c r="J45" s="13" t="s">
        <v>528</v>
      </c>
      <c r="K45" s="12" t="s">
        <v>44</v>
      </c>
      <c r="L45" s="13"/>
      <c r="M45" s="13"/>
      <c r="N45" s="13"/>
      <c r="O45" s="13"/>
      <c r="P45" s="13"/>
      <c r="Q45" s="13"/>
      <c r="R45" s="13"/>
      <c r="S45" s="13"/>
      <c r="T45" s="13"/>
      <c r="U45" s="13"/>
    </row>
    <row r="46" spans="1:21">
      <c r="A46" s="12">
        <v>10</v>
      </c>
      <c r="B46" s="13" t="s">
        <v>77</v>
      </c>
      <c r="C46" s="12" t="s">
        <v>32</v>
      </c>
      <c r="D46" s="13"/>
      <c r="E46" s="12">
        <v>25</v>
      </c>
      <c r="F46" s="13" t="s">
        <v>231</v>
      </c>
      <c r="G46" s="12" t="s">
        <v>2340</v>
      </c>
      <c r="H46" s="13"/>
      <c r="I46" s="12">
        <v>9</v>
      </c>
      <c r="J46" s="13" t="s">
        <v>565</v>
      </c>
      <c r="K46" s="12" t="s">
        <v>48</v>
      </c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>
      <c r="A47" s="12">
        <v>11</v>
      </c>
      <c r="B47" s="13" t="s">
        <v>159</v>
      </c>
      <c r="C47" s="12" t="s">
        <v>55</v>
      </c>
      <c r="D47" s="13"/>
      <c r="E47" s="12">
        <v>26</v>
      </c>
      <c r="F47" s="13" t="s">
        <v>235</v>
      </c>
      <c r="G47" s="12" t="s">
        <v>2341</v>
      </c>
      <c r="H47" s="13"/>
      <c r="I47" s="12">
        <v>10</v>
      </c>
      <c r="J47" s="13" t="s">
        <v>2342</v>
      </c>
      <c r="K47" s="12" t="s">
        <v>32</v>
      </c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1:21">
      <c r="A48" s="12">
        <v>12</v>
      </c>
      <c r="B48" s="13" t="s">
        <v>161</v>
      </c>
      <c r="C48" s="12" t="s">
        <v>42</v>
      </c>
      <c r="D48" s="13"/>
      <c r="E48" s="13"/>
      <c r="F48" s="13"/>
      <c r="G48" s="13"/>
      <c r="H48" s="13"/>
      <c r="I48" s="12">
        <v>11</v>
      </c>
      <c r="J48" s="13" t="s">
        <v>508</v>
      </c>
      <c r="K48" s="12" t="s">
        <v>55</v>
      </c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1:21">
      <c r="A49" s="13"/>
      <c r="B49" s="13"/>
      <c r="C49" s="13"/>
      <c r="D49" s="13"/>
      <c r="E49" s="13" t="s">
        <v>113</v>
      </c>
      <c r="F49" s="13"/>
      <c r="G49" s="13"/>
      <c r="H49" s="13"/>
      <c r="I49" s="12">
        <v>12</v>
      </c>
      <c r="J49" s="13" t="s">
        <v>530</v>
      </c>
      <c r="K49" s="12" t="s">
        <v>42</v>
      </c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>
      <c r="A50" s="13" t="s">
        <v>28</v>
      </c>
      <c r="B50" s="13"/>
      <c r="C50" s="13"/>
      <c r="D50" s="13"/>
      <c r="E50" s="12" t="s">
        <v>2011</v>
      </c>
      <c r="F50" s="12" t="s">
        <v>2024</v>
      </c>
      <c r="G50" s="12" t="s">
        <v>2300</v>
      </c>
      <c r="H50" s="13"/>
      <c r="I50" s="12">
        <v>13</v>
      </c>
      <c r="J50" s="13" t="s">
        <v>2343</v>
      </c>
      <c r="K50" s="12" t="s">
        <v>62</v>
      </c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1:21">
      <c r="A51" s="12" t="s">
        <v>2011</v>
      </c>
      <c r="B51" s="12" t="s">
        <v>2024</v>
      </c>
      <c r="C51" s="12" t="s">
        <v>2300</v>
      </c>
      <c r="D51" s="13"/>
      <c r="E51" s="12">
        <v>1</v>
      </c>
      <c r="F51" s="13" t="s">
        <v>2106</v>
      </c>
      <c r="G51" s="12" t="s">
        <v>2344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1:21">
      <c r="A52" s="12">
        <v>1</v>
      </c>
      <c r="B52" s="13" t="s">
        <v>2345</v>
      </c>
      <c r="C52" s="12" t="s">
        <v>122</v>
      </c>
      <c r="D52" s="13"/>
      <c r="E52" s="12">
        <v>2</v>
      </c>
      <c r="F52" s="13" t="s">
        <v>421</v>
      </c>
      <c r="G52" s="12" t="s">
        <v>110</v>
      </c>
      <c r="H52" s="13"/>
      <c r="I52" s="13" t="s">
        <v>2156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1:21">
      <c r="A53" s="12">
        <v>2</v>
      </c>
      <c r="B53" s="13" t="s">
        <v>2346</v>
      </c>
      <c r="C53" s="12" t="s">
        <v>6</v>
      </c>
      <c r="D53" s="13"/>
      <c r="E53" s="12">
        <v>3</v>
      </c>
      <c r="F53" s="13" t="s">
        <v>239</v>
      </c>
      <c r="G53" s="12" t="s">
        <v>2306</v>
      </c>
      <c r="H53" s="13"/>
      <c r="I53" s="12" t="s">
        <v>2011</v>
      </c>
      <c r="J53" s="12" t="s">
        <v>2024</v>
      </c>
      <c r="K53" s="12" t="s">
        <v>2300</v>
      </c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1:21">
      <c r="A54" s="12">
        <v>3</v>
      </c>
      <c r="B54" s="13" t="s">
        <v>2347</v>
      </c>
      <c r="C54" s="12" t="s">
        <v>12</v>
      </c>
      <c r="D54" s="13"/>
      <c r="E54" s="12">
        <v>4</v>
      </c>
      <c r="F54" s="13" t="s">
        <v>393</v>
      </c>
      <c r="G54" s="12" t="s">
        <v>2307</v>
      </c>
      <c r="H54" s="13"/>
      <c r="I54" s="12">
        <v>1</v>
      </c>
      <c r="J54" s="13" t="s">
        <v>2348</v>
      </c>
      <c r="K54" s="12" t="s">
        <v>122</v>
      </c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1:21">
      <c r="A55" s="12">
        <v>4</v>
      </c>
      <c r="B55" s="13" t="s">
        <v>2349</v>
      </c>
      <c r="C55" s="12" t="s">
        <v>17</v>
      </c>
      <c r="D55" s="13"/>
      <c r="E55" s="12">
        <v>5</v>
      </c>
      <c r="F55" s="13" t="s">
        <v>2107</v>
      </c>
      <c r="G55" s="12" t="s">
        <v>2309</v>
      </c>
      <c r="H55" s="13"/>
      <c r="I55" s="12">
        <v>2</v>
      </c>
      <c r="J55" s="13" t="s">
        <v>2350</v>
      </c>
      <c r="K55" s="12" t="s">
        <v>6</v>
      </c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>
      <c r="A56" s="13"/>
      <c r="B56" s="13"/>
      <c r="C56" s="13"/>
      <c r="D56" s="13"/>
      <c r="E56" s="12">
        <v>6</v>
      </c>
      <c r="F56" s="13" t="s">
        <v>243</v>
      </c>
      <c r="G56" s="12" t="s">
        <v>2351</v>
      </c>
      <c r="H56" s="13"/>
      <c r="I56" s="12">
        <v>3</v>
      </c>
      <c r="J56" s="13" t="s">
        <v>2352</v>
      </c>
      <c r="K56" s="12" t="s">
        <v>17</v>
      </c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>
      <c r="A57" s="13" t="s">
        <v>35</v>
      </c>
      <c r="B57" s="13"/>
      <c r="C57" s="13"/>
      <c r="D57" s="13"/>
      <c r="E57" s="12">
        <v>7</v>
      </c>
      <c r="F57" s="13" t="s">
        <v>245</v>
      </c>
      <c r="G57" s="12" t="s">
        <v>2314</v>
      </c>
      <c r="H57" s="13"/>
      <c r="I57" s="12">
        <v>4</v>
      </c>
      <c r="J57" s="13" t="s">
        <v>2353</v>
      </c>
      <c r="K57" s="12" t="s">
        <v>22</v>
      </c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21">
      <c r="A58" s="12" t="s">
        <v>2011</v>
      </c>
      <c r="B58" s="12" t="s">
        <v>2024</v>
      </c>
      <c r="C58" s="12" t="s">
        <v>2300</v>
      </c>
      <c r="D58" s="13"/>
      <c r="E58" s="12">
        <v>8</v>
      </c>
      <c r="F58" s="13" t="s">
        <v>247</v>
      </c>
      <c r="G58" s="12" t="s">
        <v>2316</v>
      </c>
      <c r="H58" s="13"/>
      <c r="I58" s="12">
        <v>5</v>
      </c>
      <c r="J58" s="13" t="s">
        <v>2354</v>
      </c>
      <c r="K58" s="12" t="s">
        <v>27</v>
      </c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1:21">
      <c r="A59" s="12">
        <v>1</v>
      </c>
      <c r="B59" s="13" t="s">
        <v>171</v>
      </c>
      <c r="C59" s="12" t="s">
        <v>122</v>
      </c>
      <c r="D59" s="13"/>
      <c r="E59" s="12">
        <v>9</v>
      </c>
      <c r="F59" s="13" t="s">
        <v>249</v>
      </c>
      <c r="G59" s="12" t="s">
        <v>2318</v>
      </c>
      <c r="H59" s="13"/>
      <c r="I59" s="12">
        <v>6</v>
      </c>
      <c r="J59" s="13" t="s">
        <v>2355</v>
      </c>
      <c r="K59" s="12" t="s">
        <v>34</v>
      </c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1:21">
      <c r="A60" s="12">
        <v>2</v>
      </c>
      <c r="B60" s="13" t="s">
        <v>173</v>
      </c>
      <c r="C60" s="12" t="s">
        <v>6</v>
      </c>
      <c r="D60" s="13"/>
      <c r="E60" s="12">
        <v>10</v>
      </c>
      <c r="F60" s="13" t="s">
        <v>251</v>
      </c>
      <c r="G60" s="12" t="s">
        <v>2319</v>
      </c>
      <c r="H60" s="13"/>
      <c r="I60" s="12">
        <v>7</v>
      </c>
      <c r="J60" s="13" t="s">
        <v>2356</v>
      </c>
      <c r="K60" s="12" t="s">
        <v>4</v>
      </c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1:21">
      <c r="A61" s="12">
        <v>3</v>
      </c>
      <c r="B61" s="13" t="s">
        <v>175</v>
      </c>
      <c r="C61" s="12" t="s">
        <v>12</v>
      </c>
      <c r="D61" s="13"/>
      <c r="E61" s="12">
        <v>11</v>
      </c>
      <c r="F61" s="13" t="s">
        <v>2108</v>
      </c>
      <c r="G61" s="12" t="s">
        <v>2320</v>
      </c>
      <c r="H61" s="13"/>
      <c r="I61" s="12">
        <v>8</v>
      </c>
      <c r="J61" s="13" t="s">
        <v>2357</v>
      </c>
      <c r="K61" s="12" t="s">
        <v>44</v>
      </c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>
      <c r="A62" s="12">
        <v>4</v>
      </c>
      <c r="B62" s="13" t="s">
        <v>177</v>
      </c>
      <c r="C62" s="12" t="s">
        <v>17</v>
      </c>
      <c r="D62" s="13"/>
      <c r="E62" s="12">
        <v>12</v>
      </c>
      <c r="F62" s="13" t="s">
        <v>2109</v>
      </c>
      <c r="G62" s="12" t="s">
        <v>2321</v>
      </c>
      <c r="H62" s="13"/>
      <c r="I62" s="12">
        <v>9</v>
      </c>
      <c r="J62" s="13" t="s">
        <v>2358</v>
      </c>
      <c r="K62" s="12" t="s">
        <v>48</v>
      </c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>
      <c r="A63" s="13"/>
      <c r="B63" s="13"/>
      <c r="C63" s="13"/>
      <c r="D63" s="13"/>
      <c r="E63" s="12">
        <v>13</v>
      </c>
      <c r="F63" s="13" t="s">
        <v>253</v>
      </c>
      <c r="G63" s="12" t="s">
        <v>2323</v>
      </c>
      <c r="H63" s="13"/>
      <c r="I63" s="12">
        <v>10</v>
      </c>
      <c r="J63" s="13" t="s">
        <v>2359</v>
      </c>
      <c r="K63" s="12" t="s">
        <v>32</v>
      </c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1:21">
      <c r="A64" s="13" t="s">
        <v>95</v>
      </c>
      <c r="B64" s="13"/>
      <c r="C64" s="13"/>
      <c r="D64" s="13"/>
      <c r="E64" s="12">
        <v>14</v>
      </c>
      <c r="F64" s="13" t="s">
        <v>2110</v>
      </c>
      <c r="G64" s="12" t="s">
        <v>2325</v>
      </c>
      <c r="H64" s="13"/>
      <c r="I64" s="12">
        <v>11</v>
      </c>
      <c r="J64" s="13" t="s">
        <v>2360</v>
      </c>
      <c r="K64" s="12" t="s">
        <v>55</v>
      </c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1:21">
      <c r="A65" s="12" t="s">
        <v>2011</v>
      </c>
      <c r="B65" s="12" t="s">
        <v>2024</v>
      </c>
      <c r="C65" s="12" t="s">
        <v>2300</v>
      </c>
      <c r="D65" s="13"/>
      <c r="E65" s="12">
        <v>15</v>
      </c>
      <c r="F65" s="13" t="s">
        <v>233</v>
      </c>
      <c r="G65" s="12" t="s">
        <v>2327</v>
      </c>
      <c r="H65" s="13"/>
      <c r="I65" s="12">
        <v>12</v>
      </c>
      <c r="J65" s="13" t="s">
        <v>2361</v>
      </c>
      <c r="K65" s="12" t="s">
        <v>42</v>
      </c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1:21">
      <c r="A66" s="12">
        <v>1</v>
      </c>
      <c r="B66" s="13" t="s">
        <v>96</v>
      </c>
      <c r="C66" s="12" t="s">
        <v>122</v>
      </c>
      <c r="D66" s="13"/>
      <c r="E66" s="12">
        <v>16</v>
      </c>
      <c r="F66" s="13" t="s">
        <v>2111</v>
      </c>
      <c r="G66" s="12" t="s">
        <v>2329</v>
      </c>
      <c r="H66" s="13"/>
      <c r="I66" s="12">
        <v>13</v>
      </c>
      <c r="J66" s="13" t="s">
        <v>2362</v>
      </c>
      <c r="K66" s="12" t="s">
        <v>62</v>
      </c>
      <c r="L66" s="13"/>
      <c r="M66" s="13"/>
      <c r="N66" s="13"/>
      <c r="O66" s="13"/>
      <c r="P66" s="13"/>
      <c r="Q66" s="13"/>
      <c r="R66" s="13"/>
      <c r="S66" s="13"/>
      <c r="T66" s="13"/>
      <c r="U66" s="13"/>
    </row>
    <row r="67" spans="1:21">
      <c r="A67" s="12">
        <v>2</v>
      </c>
      <c r="B67" s="13" t="s">
        <v>100</v>
      </c>
      <c r="C67" s="12" t="s">
        <v>6</v>
      </c>
      <c r="D67" s="13"/>
      <c r="E67" s="12">
        <v>17</v>
      </c>
      <c r="F67" s="13" t="s">
        <v>255</v>
      </c>
      <c r="G67" s="12" t="s">
        <v>2331</v>
      </c>
      <c r="H67" s="13"/>
      <c r="I67" s="12">
        <v>14</v>
      </c>
      <c r="J67" s="13" t="s">
        <v>2363</v>
      </c>
      <c r="K67" s="12" t="s">
        <v>70</v>
      </c>
      <c r="L67" s="13"/>
      <c r="M67" s="13"/>
      <c r="N67" s="13"/>
      <c r="O67" s="13"/>
      <c r="P67" s="13"/>
      <c r="Q67" s="13"/>
      <c r="R67" s="13"/>
      <c r="S67" s="13"/>
      <c r="T67" s="13"/>
      <c r="U67" s="13"/>
    </row>
    <row r="68" spans="1:21">
      <c r="A68" s="12">
        <v>3</v>
      </c>
      <c r="B68" s="13" t="s">
        <v>23</v>
      </c>
      <c r="C68" s="12" t="s">
        <v>12</v>
      </c>
      <c r="D68" s="13"/>
      <c r="E68" s="12">
        <v>18</v>
      </c>
      <c r="F68" s="13" t="s">
        <v>257</v>
      </c>
      <c r="G68" s="12" t="s">
        <v>2332</v>
      </c>
      <c r="H68" s="13"/>
      <c r="I68" s="12">
        <v>15</v>
      </c>
      <c r="J68" s="13" t="s">
        <v>2364</v>
      </c>
      <c r="K68" s="12" t="s">
        <v>74</v>
      </c>
      <c r="L68" s="13"/>
      <c r="M68" s="13"/>
      <c r="N68" s="13"/>
      <c r="O68" s="13"/>
      <c r="P68" s="13"/>
      <c r="Q68" s="13"/>
      <c r="R68" s="13"/>
      <c r="S68" s="13"/>
      <c r="T68" s="13"/>
      <c r="U68" s="13"/>
    </row>
    <row r="69" spans="1:21">
      <c r="A69" s="12">
        <v>4</v>
      </c>
      <c r="B69" s="13" t="s">
        <v>2365</v>
      </c>
      <c r="C69" s="12" t="s">
        <v>17</v>
      </c>
      <c r="D69" s="13"/>
      <c r="E69" s="12">
        <v>19</v>
      </c>
      <c r="F69" s="13" t="s">
        <v>259</v>
      </c>
      <c r="G69" s="12" t="s">
        <v>2333</v>
      </c>
      <c r="H69" s="13"/>
      <c r="I69" s="12">
        <v>16</v>
      </c>
      <c r="J69" s="13" t="s">
        <v>2366</v>
      </c>
      <c r="K69" s="12" t="s">
        <v>104</v>
      </c>
      <c r="L69" s="13"/>
      <c r="M69" s="13"/>
      <c r="N69" s="13"/>
      <c r="O69" s="13"/>
      <c r="P69" s="13"/>
      <c r="Q69" s="13"/>
      <c r="R69" s="13"/>
      <c r="S69" s="13"/>
      <c r="T69" s="13"/>
      <c r="U69" s="13"/>
    </row>
    <row r="70" spans="1:21">
      <c r="A70" s="13"/>
      <c r="B70" s="13"/>
      <c r="C70" s="13"/>
      <c r="D70" s="13"/>
      <c r="E70" s="12">
        <v>20</v>
      </c>
      <c r="F70" s="13" t="s">
        <v>2112</v>
      </c>
      <c r="G70" s="12" t="s">
        <v>2334</v>
      </c>
      <c r="H70" s="13"/>
      <c r="I70" s="12">
        <v>17</v>
      </c>
      <c r="J70" s="13" t="s">
        <v>2367</v>
      </c>
      <c r="K70" s="12" t="s">
        <v>78</v>
      </c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1:21">
      <c r="A71" s="13"/>
      <c r="B71" s="13"/>
      <c r="C71" s="13"/>
      <c r="D71" s="13"/>
      <c r="E71" s="12">
        <v>21</v>
      </c>
      <c r="F71" s="13" t="s">
        <v>2113</v>
      </c>
      <c r="G71" s="12" t="s">
        <v>2335</v>
      </c>
      <c r="H71" s="13"/>
      <c r="I71" s="12">
        <v>18</v>
      </c>
      <c r="J71" s="13" t="s">
        <v>2368</v>
      </c>
      <c r="K71" s="12" t="s">
        <v>2312</v>
      </c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1:21">
      <c r="A72" s="13"/>
      <c r="B72" s="13"/>
      <c r="C72" s="13"/>
      <c r="D72" s="13"/>
      <c r="E72" s="13"/>
      <c r="F72" s="13"/>
      <c r="G72" s="13"/>
      <c r="H72" s="13"/>
      <c r="I72" s="12">
        <v>19</v>
      </c>
      <c r="J72" s="13" t="s">
        <v>2369</v>
      </c>
      <c r="K72" s="12" t="s">
        <v>82</v>
      </c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1:21">
      <c r="A73" s="13"/>
      <c r="B73" s="13"/>
      <c r="C73" s="13"/>
      <c r="D73" s="13"/>
      <c r="E73" s="13" t="s">
        <v>115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</row>
    <row r="74" spans="1:21">
      <c r="A74" s="13"/>
      <c r="B74" s="13"/>
      <c r="C74" s="13"/>
      <c r="D74" s="13"/>
      <c r="E74" s="12" t="s">
        <v>2011</v>
      </c>
      <c r="F74" s="12" t="s">
        <v>2024</v>
      </c>
      <c r="G74" s="12" t="s">
        <v>2300</v>
      </c>
      <c r="H74" s="13"/>
      <c r="I74" s="13" t="s">
        <v>2065</v>
      </c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1:21">
      <c r="A75" s="13"/>
      <c r="B75" s="13"/>
      <c r="C75" s="13"/>
      <c r="D75" s="13"/>
      <c r="E75" s="12">
        <v>1</v>
      </c>
      <c r="F75" s="13" t="s">
        <v>261</v>
      </c>
      <c r="G75" s="12" t="s">
        <v>2344</v>
      </c>
      <c r="H75" s="13"/>
      <c r="I75" s="12" t="s">
        <v>2011</v>
      </c>
      <c r="J75" s="12" t="s">
        <v>2024</v>
      </c>
      <c r="K75" s="12" t="s">
        <v>2300</v>
      </c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1:21">
      <c r="A76" s="13"/>
      <c r="B76" s="13"/>
      <c r="C76" s="13"/>
      <c r="D76" s="13"/>
      <c r="E76" s="12"/>
      <c r="F76" s="13"/>
      <c r="G76" s="12"/>
      <c r="H76" s="13"/>
      <c r="I76" s="12">
        <v>1</v>
      </c>
      <c r="J76" s="13" t="s">
        <v>2160</v>
      </c>
      <c r="K76" s="12" t="s">
        <v>2344</v>
      </c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1:21">
      <c r="A77" s="13"/>
      <c r="B77" s="13"/>
      <c r="C77" s="13"/>
      <c r="D77" s="13"/>
      <c r="E77" s="13" t="s">
        <v>117</v>
      </c>
      <c r="F77" s="13"/>
      <c r="G77" s="13"/>
      <c r="H77" s="13"/>
      <c r="I77" s="12">
        <v>2</v>
      </c>
      <c r="J77" s="13" t="s">
        <v>2162</v>
      </c>
      <c r="K77" s="12" t="s">
        <v>2370</v>
      </c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>
      <c r="A78" s="13"/>
      <c r="B78" s="13"/>
      <c r="C78" s="13"/>
      <c r="D78" s="13"/>
      <c r="E78" s="12" t="s">
        <v>2011</v>
      </c>
      <c r="F78" s="12" t="s">
        <v>2024</v>
      </c>
      <c r="G78" s="12" t="s">
        <v>2300</v>
      </c>
      <c r="H78" s="13"/>
      <c r="I78" s="12">
        <v>3</v>
      </c>
      <c r="J78" s="13" t="s">
        <v>2164</v>
      </c>
      <c r="K78" s="12" t="s">
        <v>12</v>
      </c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1:21">
      <c r="A79" s="13"/>
      <c r="B79" s="13"/>
      <c r="C79" s="13"/>
      <c r="D79" s="13"/>
      <c r="E79" s="12">
        <v>1</v>
      </c>
      <c r="F79" s="13" t="s">
        <v>269</v>
      </c>
      <c r="G79" s="12" t="s">
        <v>2344</v>
      </c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</row>
    <row r="80" spans="1:21">
      <c r="A80" s="13"/>
      <c r="B80" s="13"/>
      <c r="C80" s="13"/>
      <c r="D80" s="13"/>
      <c r="E80" s="12">
        <v>2</v>
      </c>
      <c r="F80" s="13" t="s">
        <v>271</v>
      </c>
      <c r="G80" s="12" t="s">
        <v>110</v>
      </c>
      <c r="H80" s="13"/>
      <c r="I80" s="13" t="s">
        <v>2164</v>
      </c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1:21">
      <c r="A81" s="13"/>
      <c r="B81" s="13"/>
      <c r="C81" s="13"/>
      <c r="D81" s="13"/>
      <c r="E81" s="12">
        <v>3</v>
      </c>
      <c r="F81" s="13" t="s">
        <v>2116</v>
      </c>
      <c r="G81" s="12" t="s">
        <v>2306</v>
      </c>
      <c r="H81" s="13"/>
      <c r="I81" s="12" t="s">
        <v>2011</v>
      </c>
      <c r="J81" s="12" t="s">
        <v>2024</v>
      </c>
      <c r="K81" s="12" t="s">
        <v>2300</v>
      </c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1:21">
      <c r="A82" s="13"/>
      <c r="B82" s="13"/>
      <c r="C82" s="13"/>
      <c r="D82" s="13"/>
      <c r="E82" s="12">
        <v>4</v>
      </c>
      <c r="F82" s="13" t="s">
        <v>275</v>
      </c>
      <c r="G82" s="12" t="s">
        <v>2307</v>
      </c>
      <c r="H82" s="13"/>
      <c r="I82" s="12">
        <v>1</v>
      </c>
      <c r="J82" s="13" t="s">
        <v>2371</v>
      </c>
      <c r="K82" s="12" t="s">
        <v>122</v>
      </c>
      <c r="L82" s="13"/>
      <c r="M82" s="13"/>
      <c r="N82" s="13"/>
      <c r="O82" s="13"/>
      <c r="P82" s="13"/>
      <c r="Q82" s="13"/>
      <c r="R82" s="13"/>
      <c r="S82" s="13"/>
      <c r="T82" s="13"/>
      <c r="U82" s="13"/>
    </row>
    <row r="83" spans="1:21">
      <c r="A83" s="13"/>
      <c r="B83" s="13"/>
      <c r="C83" s="13"/>
      <c r="D83" s="13"/>
      <c r="E83" s="12">
        <v>5</v>
      </c>
      <c r="F83" s="13" t="s">
        <v>2117</v>
      </c>
      <c r="G83" s="12" t="s">
        <v>2309</v>
      </c>
      <c r="H83" s="13"/>
      <c r="I83" s="12">
        <v>2</v>
      </c>
      <c r="J83" s="13" t="s">
        <v>2372</v>
      </c>
      <c r="K83" s="12" t="s">
        <v>6</v>
      </c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1:21">
      <c r="A84" s="13"/>
      <c r="B84" s="13"/>
      <c r="C84" s="13"/>
      <c r="D84" s="13"/>
      <c r="E84" s="12">
        <v>6</v>
      </c>
      <c r="F84" s="13" t="s">
        <v>2118</v>
      </c>
      <c r="G84" s="12" t="s">
        <v>2351</v>
      </c>
      <c r="H84" s="13"/>
      <c r="I84" s="12">
        <v>3</v>
      </c>
      <c r="J84" s="13" t="s">
        <v>2373</v>
      </c>
      <c r="K84" s="12" t="s">
        <v>17</v>
      </c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1:21">
      <c r="A85" s="13"/>
      <c r="B85" s="13"/>
      <c r="C85" s="13"/>
      <c r="D85" s="13"/>
      <c r="E85" s="12">
        <v>7</v>
      </c>
      <c r="F85" s="13" t="s">
        <v>279</v>
      </c>
      <c r="G85" s="12" t="s">
        <v>2311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1:21">
      <c r="A86" s="13"/>
      <c r="B86" s="13"/>
      <c r="C86" s="13"/>
      <c r="D86" s="13"/>
      <c r="E86" s="12">
        <v>8</v>
      </c>
      <c r="F86" s="13" t="s">
        <v>281</v>
      </c>
      <c r="G86" s="12" t="s">
        <v>2314</v>
      </c>
      <c r="H86" s="13"/>
      <c r="I86" s="13" t="s">
        <v>2067</v>
      </c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  <row r="87" spans="1:21">
      <c r="A87" s="13"/>
      <c r="B87" s="13"/>
      <c r="C87" s="13"/>
      <c r="D87" s="13"/>
      <c r="E87" s="12">
        <v>9</v>
      </c>
      <c r="F87" s="13" t="s">
        <v>283</v>
      </c>
      <c r="G87" s="12" t="s">
        <v>2316</v>
      </c>
      <c r="H87" s="13"/>
      <c r="I87" s="12" t="s">
        <v>2011</v>
      </c>
      <c r="J87" s="12" t="s">
        <v>2024</v>
      </c>
      <c r="K87" s="12" t="s">
        <v>2300</v>
      </c>
      <c r="L87" s="13"/>
      <c r="M87" s="13"/>
      <c r="N87" s="13"/>
      <c r="O87" s="13"/>
      <c r="P87" s="13"/>
      <c r="Q87" s="13"/>
      <c r="R87" s="13"/>
      <c r="S87" s="13"/>
      <c r="T87" s="13"/>
      <c r="U87" s="13"/>
    </row>
    <row r="88" spans="1:21">
      <c r="A88" s="13"/>
      <c r="B88" s="13"/>
      <c r="C88" s="13"/>
      <c r="D88" s="13"/>
      <c r="E88" s="12">
        <v>10</v>
      </c>
      <c r="F88" s="13" t="s">
        <v>2119</v>
      </c>
      <c r="G88" s="12" t="s">
        <v>2318</v>
      </c>
      <c r="H88" s="13"/>
      <c r="I88" s="12">
        <v>1</v>
      </c>
      <c r="J88" s="13" t="s">
        <v>450</v>
      </c>
      <c r="K88" s="12" t="s">
        <v>2344</v>
      </c>
      <c r="L88" s="13"/>
      <c r="M88" s="13"/>
      <c r="N88" s="13"/>
      <c r="O88" s="13"/>
      <c r="P88" s="13"/>
      <c r="Q88" s="13"/>
      <c r="R88" s="13"/>
      <c r="S88" s="13"/>
      <c r="T88" s="13"/>
      <c r="U88" s="13"/>
    </row>
    <row r="89" spans="1:21">
      <c r="A89" s="13"/>
      <c r="B89" s="13"/>
      <c r="C89" s="13"/>
      <c r="D89" s="13"/>
      <c r="E89" s="12">
        <v>11</v>
      </c>
      <c r="F89" s="13" t="s">
        <v>287</v>
      </c>
      <c r="G89" s="12" t="s">
        <v>2319</v>
      </c>
      <c r="H89" s="13"/>
      <c r="I89" s="12">
        <v>2</v>
      </c>
      <c r="J89" s="13" t="s">
        <v>458</v>
      </c>
      <c r="K89" s="12" t="s">
        <v>2370</v>
      </c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>
      <c r="A90" s="13"/>
      <c r="B90" s="13"/>
      <c r="C90" s="13"/>
      <c r="D90" s="13"/>
      <c r="E90" s="12">
        <v>12</v>
      </c>
      <c r="F90" s="13" t="s">
        <v>289</v>
      </c>
      <c r="G90" s="12" t="s">
        <v>2320</v>
      </c>
      <c r="H90" s="13"/>
      <c r="I90" s="12">
        <v>3</v>
      </c>
      <c r="J90" s="13" t="s">
        <v>452</v>
      </c>
      <c r="K90" s="12" t="s">
        <v>2324</v>
      </c>
      <c r="L90" s="13"/>
      <c r="M90" s="13"/>
      <c r="N90" s="13"/>
      <c r="O90" s="13"/>
      <c r="P90" s="13"/>
      <c r="Q90" s="13"/>
      <c r="R90" s="13"/>
      <c r="S90" s="13"/>
      <c r="T90" s="13"/>
      <c r="U90" s="13"/>
    </row>
    <row r="91" spans="1:21">
      <c r="A91" s="13"/>
      <c r="B91" s="13"/>
      <c r="C91" s="13"/>
      <c r="D91" s="13"/>
      <c r="E91" s="12">
        <v>13</v>
      </c>
      <c r="F91" s="13" t="s">
        <v>291</v>
      </c>
      <c r="G91" s="12" t="s">
        <v>2321</v>
      </c>
      <c r="H91" s="13"/>
      <c r="I91" s="12">
        <v>4</v>
      </c>
      <c r="J91" s="13" t="s">
        <v>460</v>
      </c>
      <c r="K91" s="12" t="s">
        <v>2326</v>
      </c>
      <c r="L91" s="13"/>
      <c r="M91" s="13"/>
      <c r="N91" s="13"/>
      <c r="O91" s="13"/>
      <c r="P91" s="13"/>
      <c r="Q91" s="13"/>
      <c r="R91" s="13"/>
      <c r="S91" s="13"/>
      <c r="T91" s="13"/>
      <c r="U91" s="13"/>
    </row>
    <row r="92" spans="1:21">
      <c r="A92" s="13"/>
      <c r="B92" s="13"/>
      <c r="C92" s="13"/>
      <c r="D92" s="13"/>
      <c r="E92" s="12">
        <v>14</v>
      </c>
      <c r="F92" s="13" t="s">
        <v>293</v>
      </c>
      <c r="G92" s="12" t="s">
        <v>2323</v>
      </c>
      <c r="H92" s="13"/>
      <c r="I92" s="12">
        <v>5</v>
      </c>
      <c r="J92" s="13" t="s">
        <v>454</v>
      </c>
      <c r="K92" s="12" t="s">
        <v>2328</v>
      </c>
      <c r="L92" s="13"/>
      <c r="M92" s="13"/>
      <c r="N92" s="13"/>
      <c r="O92" s="13"/>
      <c r="P92" s="13"/>
      <c r="Q92" s="13"/>
      <c r="R92" s="13"/>
      <c r="S92" s="13"/>
      <c r="T92" s="13"/>
      <c r="U92" s="13"/>
    </row>
    <row r="93" spans="1:21">
      <c r="A93" s="13"/>
      <c r="B93" s="13"/>
      <c r="C93" s="13"/>
      <c r="D93" s="13"/>
      <c r="E93" s="12">
        <v>15</v>
      </c>
      <c r="F93" s="13" t="s">
        <v>295</v>
      </c>
      <c r="G93" s="12" t="s">
        <v>2325</v>
      </c>
      <c r="H93" s="13"/>
      <c r="I93" s="12">
        <v>6</v>
      </c>
      <c r="J93" s="13" t="s">
        <v>462</v>
      </c>
      <c r="K93" s="12" t="s">
        <v>2330</v>
      </c>
      <c r="L93" s="13"/>
      <c r="M93" s="13"/>
      <c r="N93" s="13"/>
      <c r="O93" s="13"/>
      <c r="P93" s="13"/>
      <c r="Q93" s="13"/>
      <c r="R93" s="13"/>
      <c r="S93" s="13"/>
      <c r="T93" s="13"/>
      <c r="U93" s="13"/>
    </row>
    <row r="94" spans="1:21">
      <c r="A94" s="13"/>
      <c r="B94" s="13"/>
      <c r="C94" s="13"/>
      <c r="D94" s="13"/>
      <c r="E94" s="12">
        <v>16</v>
      </c>
      <c r="F94" s="13" t="s">
        <v>2120</v>
      </c>
      <c r="G94" s="12" t="s">
        <v>2327</v>
      </c>
      <c r="H94" s="13"/>
      <c r="I94" s="12">
        <v>7</v>
      </c>
      <c r="J94" s="13" t="s">
        <v>456</v>
      </c>
      <c r="K94" s="12" t="s">
        <v>2374</v>
      </c>
      <c r="L94" s="13"/>
      <c r="M94" s="13"/>
      <c r="N94" s="13"/>
      <c r="O94" s="13"/>
      <c r="P94" s="13"/>
      <c r="Q94" s="13"/>
      <c r="R94" s="13"/>
      <c r="S94" s="13"/>
      <c r="T94" s="13"/>
      <c r="U94" s="13"/>
    </row>
    <row r="95" spans="1:21">
      <c r="A95" s="13"/>
      <c r="B95" s="13"/>
      <c r="C95" s="13"/>
      <c r="D95" s="13"/>
      <c r="E95" s="12">
        <v>17</v>
      </c>
      <c r="F95" s="13" t="s">
        <v>297</v>
      </c>
      <c r="G95" s="12" t="s">
        <v>2329</v>
      </c>
      <c r="H95" s="13"/>
      <c r="I95" s="12">
        <v>8</v>
      </c>
      <c r="J95" s="13" t="s">
        <v>464</v>
      </c>
      <c r="K95" s="12" t="s">
        <v>2375</v>
      </c>
      <c r="L95" s="13"/>
      <c r="M95" s="13"/>
      <c r="N95" s="13"/>
      <c r="O95" s="13"/>
      <c r="P95" s="13"/>
      <c r="Q95" s="13"/>
      <c r="R95" s="13"/>
      <c r="S95" s="13"/>
      <c r="T95" s="13"/>
      <c r="U95" s="13"/>
    </row>
    <row r="96" spans="1:21">
      <c r="A96" s="13"/>
      <c r="B96" s="13"/>
      <c r="C96" s="13"/>
      <c r="D96" s="13"/>
      <c r="E96" s="12">
        <v>18</v>
      </c>
      <c r="F96" s="13" t="s">
        <v>299</v>
      </c>
      <c r="G96" s="12" t="s">
        <v>2332</v>
      </c>
      <c r="H96" s="13"/>
      <c r="I96" s="12">
        <v>9</v>
      </c>
      <c r="J96" s="13" t="s">
        <v>466</v>
      </c>
      <c r="K96" s="12" t="s">
        <v>2376</v>
      </c>
      <c r="L96" s="13"/>
      <c r="M96" s="13"/>
      <c r="N96" s="13"/>
      <c r="O96" s="13"/>
      <c r="P96" s="13"/>
      <c r="Q96" s="13"/>
      <c r="R96" s="13"/>
      <c r="S96" s="13"/>
      <c r="T96" s="13"/>
      <c r="U96" s="13"/>
    </row>
    <row r="97" spans="1:21">
      <c r="A97" s="13"/>
      <c r="B97" s="13"/>
      <c r="C97" s="13"/>
      <c r="D97" s="13"/>
      <c r="E97" s="12">
        <v>19</v>
      </c>
      <c r="F97" s="13" t="s">
        <v>301</v>
      </c>
      <c r="G97" s="12" t="s">
        <v>2333</v>
      </c>
      <c r="H97" s="13"/>
      <c r="I97" s="12">
        <v>10</v>
      </c>
      <c r="J97" s="13" t="s">
        <v>474</v>
      </c>
      <c r="K97" s="12" t="s">
        <v>2377</v>
      </c>
      <c r="L97" s="13"/>
      <c r="M97" s="13"/>
      <c r="N97" s="13"/>
      <c r="O97" s="13"/>
      <c r="P97" s="13"/>
      <c r="Q97" s="13"/>
      <c r="R97" s="13"/>
      <c r="S97" s="13"/>
      <c r="T97" s="13"/>
      <c r="U97" s="13"/>
    </row>
    <row r="98" spans="1:21">
      <c r="A98" s="13"/>
      <c r="B98" s="13"/>
      <c r="C98" s="13"/>
      <c r="D98" s="13"/>
      <c r="E98" s="12">
        <v>20</v>
      </c>
      <c r="F98" s="13" t="s">
        <v>2121</v>
      </c>
      <c r="G98" s="12" t="s">
        <v>2334</v>
      </c>
      <c r="H98" s="13"/>
      <c r="I98" s="12">
        <v>11</v>
      </c>
      <c r="J98" s="13" t="s">
        <v>468</v>
      </c>
      <c r="K98" s="12" t="s">
        <v>2378</v>
      </c>
      <c r="L98" s="13"/>
      <c r="M98" s="13"/>
      <c r="N98" s="13"/>
      <c r="O98" s="13"/>
      <c r="P98" s="13"/>
      <c r="Q98" s="13"/>
      <c r="R98" s="13"/>
      <c r="S98" s="13"/>
      <c r="T98" s="13"/>
      <c r="U98" s="13"/>
    </row>
    <row r="99" spans="1:21">
      <c r="A99" s="13"/>
      <c r="B99" s="13"/>
      <c r="C99" s="13"/>
      <c r="D99" s="13"/>
      <c r="E99" s="12">
        <v>21</v>
      </c>
      <c r="F99" s="13" t="s">
        <v>303</v>
      </c>
      <c r="G99" s="12" t="s">
        <v>2335</v>
      </c>
      <c r="H99" s="13"/>
      <c r="I99" s="12">
        <v>12</v>
      </c>
      <c r="J99" s="13" t="s">
        <v>470</v>
      </c>
      <c r="K99" s="12" t="s">
        <v>2379</v>
      </c>
      <c r="L99" s="13"/>
      <c r="M99" s="13"/>
      <c r="N99" s="13"/>
      <c r="O99" s="13"/>
      <c r="P99" s="13"/>
      <c r="Q99" s="13"/>
      <c r="R99" s="13"/>
      <c r="S99" s="13"/>
      <c r="T99" s="13"/>
      <c r="U99" s="13"/>
    </row>
    <row r="100" spans="1:21">
      <c r="A100" s="13"/>
      <c r="B100" s="13"/>
      <c r="C100" s="13"/>
      <c r="D100" s="13"/>
      <c r="E100" s="12">
        <v>22</v>
      </c>
      <c r="F100" s="13" t="s">
        <v>305</v>
      </c>
      <c r="G100" s="12" t="s">
        <v>2336</v>
      </c>
      <c r="H100" s="13"/>
      <c r="I100" s="12">
        <v>13</v>
      </c>
      <c r="J100" s="13" t="s">
        <v>472</v>
      </c>
      <c r="K100" s="12" t="s">
        <v>2063</v>
      </c>
      <c r="L100" s="13"/>
      <c r="M100" s="13"/>
      <c r="N100" s="13"/>
      <c r="O100" s="13"/>
      <c r="P100" s="13"/>
      <c r="Q100" s="13"/>
      <c r="R100" s="13"/>
      <c r="S100" s="13"/>
      <c r="T100" s="13"/>
      <c r="U100" s="13"/>
    </row>
    <row r="101" spans="1:21">
      <c r="A101" s="13"/>
      <c r="B101" s="13"/>
      <c r="C101" s="13"/>
      <c r="D101" s="13"/>
      <c r="E101" s="12">
        <v>23</v>
      </c>
      <c r="F101" s="13" t="s">
        <v>2122</v>
      </c>
      <c r="G101" s="12" t="s">
        <v>2337</v>
      </c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</row>
    <row r="102" spans="1:21">
      <c r="A102" s="13"/>
      <c r="B102" s="13"/>
      <c r="C102" s="13"/>
      <c r="D102" s="13"/>
      <c r="E102" s="12">
        <v>24</v>
      </c>
      <c r="F102" s="13" t="s">
        <v>2123</v>
      </c>
      <c r="G102" s="12" t="s">
        <v>2338</v>
      </c>
      <c r="H102" s="13"/>
      <c r="I102" s="13" t="s">
        <v>482</v>
      </c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</row>
    <row r="103" spans="1:21">
      <c r="A103" s="13"/>
      <c r="B103" s="13"/>
      <c r="C103" s="13"/>
      <c r="D103" s="13"/>
      <c r="E103" s="12">
        <v>25</v>
      </c>
      <c r="F103" s="13" t="s">
        <v>309</v>
      </c>
      <c r="G103" s="12" t="s">
        <v>2370</v>
      </c>
      <c r="H103" s="13"/>
      <c r="I103" s="12" t="s">
        <v>2011</v>
      </c>
      <c r="J103" s="12" t="s">
        <v>2024</v>
      </c>
      <c r="K103" s="12" t="s">
        <v>2300</v>
      </c>
      <c r="L103" s="13"/>
      <c r="M103" s="13"/>
      <c r="N103" s="13"/>
      <c r="O103" s="13"/>
      <c r="P103" s="13"/>
      <c r="Q103" s="13"/>
      <c r="R103" s="13"/>
      <c r="S103" s="13"/>
      <c r="T103" s="13"/>
      <c r="U103" s="13"/>
    </row>
    <row r="104" spans="1:21">
      <c r="A104" s="13"/>
      <c r="B104" s="13"/>
      <c r="C104" s="13"/>
      <c r="D104" s="13"/>
      <c r="E104" s="12">
        <v>26</v>
      </c>
      <c r="F104" s="13" t="s">
        <v>2125</v>
      </c>
      <c r="G104" s="12" t="s">
        <v>2301</v>
      </c>
      <c r="H104" s="13"/>
      <c r="I104" s="12">
        <v>1</v>
      </c>
      <c r="J104" s="13" t="s">
        <v>483</v>
      </c>
      <c r="K104" s="12" t="s">
        <v>2344</v>
      </c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>
      <c r="A105" s="13"/>
      <c r="B105" s="13"/>
      <c r="C105" s="13"/>
      <c r="D105" s="13"/>
      <c r="E105" s="12">
        <v>27</v>
      </c>
      <c r="F105" s="13" t="s">
        <v>311</v>
      </c>
      <c r="G105" s="12" t="s">
        <v>2380</v>
      </c>
      <c r="H105" s="13"/>
      <c r="I105" s="12">
        <v>2</v>
      </c>
      <c r="J105" s="13" t="s">
        <v>485</v>
      </c>
      <c r="K105" s="12" t="s">
        <v>2370</v>
      </c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>
      <c r="A106" s="13"/>
      <c r="B106" s="13"/>
      <c r="C106" s="13"/>
      <c r="D106" s="13"/>
      <c r="E106" s="12">
        <v>28</v>
      </c>
      <c r="F106" s="13" t="s">
        <v>313</v>
      </c>
      <c r="G106" s="12" t="s">
        <v>2381</v>
      </c>
      <c r="H106" s="13"/>
      <c r="I106" s="12">
        <v>3</v>
      </c>
      <c r="J106" s="13" t="s">
        <v>487</v>
      </c>
      <c r="K106" s="12" t="s">
        <v>2322</v>
      </c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  <row r="107" spans="1:21">
      <c r="A107" s="13"/>
      <c r="B107" s="13"/>
      <c r="C107" s="13"/>
      <c r="D107" s="13"/>
      <c r="E107" s="12">
        <v>29</v>
      </c>
      <c r="F107" s="13" t="s">
        <v>1472</v>
      </c>
      <c r="G107" s="12" t="s">
        <v>2382</v>
      </c>
      <c r="H107" s="13"/>
      <c r="I107" s="12">
        <v>4</v>
      </c>
      <c r="J107" s="13" t="s">
        <v>489</v>
      </c>
      <c r="K107" s="12" t="s">
        <v>2324</v>
      </c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>
      <c r="A108" s="13"/>
      <c r="B108" s="13"/>
      <c r="C108" s="13"/>
      <c r="D108" s="13"/>
      <c r="E108" s="12">
        <v>30</v>
      </c>
      <c r="F108" s="13" t="s">
        <v>317</v>
      </c>
      <c r="G108" s="12" t="s">
        <v>2383</v>
      </c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  <row r="109" spans="1:21">
      <c r="A109" s="13"/>
      <c r="B109" s="13"/>
      <c r="C109" s="13"/>
      <c r="D109" s="13"/>
      <c r="E109" s="12">
        <v>31</v>
      </c>
      <c r="F109" s="13" t="s">
        <v>2126</v>
      </c>
      <c r="G109" s="12" t="s">
        <v>2384</v>
      </c>
      <c r="H109" s="13"/>
      <c r="I109" s="13" t="s">
        <v>2070</v>
      </c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</row>
    <row r="110" spans="1:21">
      <c r="A110" s="13"/>
      <c r="B110" s="13"/>
      <c r="C110" s="13"/>
      <c r="D110" s="13"/>
      <c r="E110" s="12">
        <v>32</v>
      </c>
      <c r="F110" s="13" t="s">
        <v>321</v>
      </c>
      <c r="G110" s="12" t="s">
        <v>2385</v>
      </c>
      <c r="H110" s="13"/>
      <c r="I110" s="12" t="s">
        <v>2011</v>
      </c>
      <c r="J110" s="12" t="s">
        <v>2024</v>
      </c>
      <c r="K110" s="12" t="s">
        <v>2300</v>
      </c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>
      <c r="A111" s="13"/>
      <c r="B111" s="13"/>
      <c r="C111" s="13"/>
      <c r="D111" s="13"/>
      <c r="E111" s="12">
        <v>33</v>
      </c>
      <c r="F111" s="13" t="s">
        <v>323</v>
      </c>
      <c r="G111" s="12" t="s">
        <v>2386</v>
      </c>
      <c r="H111" s="13"/>
      <c r="I111" s="12">
        <v>1</v>
      </c>
      <c r="J111" s="13" t="s">
        <v>2387</v>
      </c>
      <c r="K111" s="12" t="s">
        <v>2344</v>
      </c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>
      <c r="A112" s="13"/>
      <c r="B112" s="13"/>
      <c r="C112" s="13"/>
      <c r="D112" s="13"/>
      <c r="E112" s="12">
        <v>34</v>
      </c>
      <c r="F112" s="13" t="s">
        <v>325</v>
      </c>
      <c r="G112" s="12" t="s">
        <v>2388</v>
      </c>
      <c r="H112" s="13"/>
      <c r="I112" s="12">
        <v>2</v>
      </c>
      <c r="J112" s="13" t="s">
        <v>547</v>
      </c>
      <c r="K112" s="12" t="s">
        <v>110</v>
      </c>
      <c r="L112" s="13"/>
      <c r="M112" s="13"/>
      <c r="N112" s="13"/>
      <c r="O112" s="13"/>
      <c r="P112" s="13"/>
      <c r="Q112" s="13"/>
      <c r="R112" s="13"/>
      <c r="S112" s="13"/>
      <c r="T112" s="13"/>
      <c r="U112" s="13"/>
    </row>
    <row r="113" spans="1:21">
      <c r="A113" s="13"/>
      <c r="B113" s="13"/>
      <c r="C113" s="13"/>
      <c r="D113" s="13"/>
      <c r="E113" s="12">
        <v>35</v>
      </c>
      <c r="F113" s="13" t="s">
        <v>327</v>
      </c>
      <c r="G113" s="12" t="s">
        <v>2389</v>
      </c>
      <c r="H113" s="13"/>
      <c r="I113" s="12">
        <v>3</v>
      </c>
      <c r="J113" s="13" t="s">
        <v>549</v>
      </c>
      <c r="K113" s="12" t="s">
        <v>2306</v>
      </c>
      <c r="L113" s="13"/>
      <c r="M113" s="13"/>
      <c r="N113" s="13"/>
      <c r="O113" s="13"/>
      <c r="P113" s="13"/>
      <c r="Q113" s="13"/>
      <c r="R113" s="13"/>
      <c r="S113" s="13"/>
      <c r="T113" s="13"/>
      <c r="U113" s="13"/>
    </row>
    <row r="114" spans="1:21">
      <c r="A114" s="13"/>
      <c r="B114" s="13"/>
      <c r="C114" s="13"/>
      <c r="D114" s="13"/>
      <c r="E114" s="12">
        <v>36</v>
      </c>
      <c r="F114" s="13" t="s">
        <v>329</v>
      </c>
      <c r="G114" s="12" t="s">
        <v>2390</v>
      </c>
      <c r="H114" s="13"/>
      <c r="I114" s="12">
        <v>4</v>
      </c>
      <c r="J114" s="13" t="s">
        <v>551</v>
      </c>
      <c r="K114" s="12" t="s">
        <v>2307</v>
      </c>
      <c r="L114" s="13"/>
      <c r="M114" s="13"/>
      <c r="N114" s="13"/>
      <c r="O114" s="13"/>
      <c r="P114" s="13"/>
      <c r="Q114" s="13"/>
      <c r="R114" s="13"/>
      <c r="S114" s="13"/>
      <c r="T114" s="13"/>
      <c r="U114" s="13"/>
    </row>
    <row r="115" spans="1:21">
      <c r="A115" s="13"/>
      <c r="B115" s="13"/>
      <c r="C115" s="13"/>
      <c r="D115" s="13"/>
      <c r="E115" s="12">
        <v>37</v>
      </c>
      <c r="F115" s="13" t="s">
        <v>331</v>
      </c>
      <c r="G115" s="12" t="s">
        <v>2391</v>
      </c>
      <c r="H115" s="13"/>
      <c r="I115" s="12">
        <v>5</v>
      </c>
      <c r="J115" s="13" t="s">
        <v>553</v>
      </c>
      <c r="K115" s="12" t="s">
        <v>2309</v>
      </c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>
      <c r="A116" s="13"/>
      <c r="B116" s="13"/>
      <c r="C116" s="13"/>
      <c r="D116" s="13"/>
      <c r="E116" s="12">
        <v>38</v>
      </c>
      <c r="F116" s="13" t="s">
        <v>2127</v>
      </c>
      <c r="G116" s="12" t="s">
        <v>2392</v>
      </c>
      <c r="H116" s="13"/>
      <c r="I116" s="12">
        <v>6</v>
      </c>
      <c r="J116" s="13" t="s">
        <v>2393</v>
      </c>
      <c r="K116" s="12" t="s">
        <v>2351</v>
      </c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>
      <c r="A117" s="13"/>
      <c r="B117" s="13"/>
      <c r="C117" s="13"/>
      <c r="D117" s="13"/>
      <c r="E117" s="12">
        <v>39</v>
      </c>
      <c r="F117" s="13" t="s">
        <v>2128</v>
      </c>
      <c r="G117" s="12" t="s">
        <v>2394</v>
      </c>
      <c r="H117" s="13"/>
      <c r="I117" s="12">
        <v>7</v>
      </c>
      <c r="J117" s="13" t="s">
        <v>2395</v>
      </c>
      <c r="K117" s="12" t="s">
        <v>2311</v>
      </c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  <row r="118" spans="1:21">
      <c r="A118" s="13"/>
      <c r="B118" s="13"/>
      <c r="C118" s="13"/>
      <c r="D118" s="13"/>
      <c r="E118" s="12">
        <v>40</v>
      </c>
      <c r="F118" s="13" t="s">
        <v>2129</v>
      </c>
      <c r="G118" s="12" t="s">
        <v>2396</v>
      </c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</row>
    <row r="119" spans="1:21">
      <c r="A119" s="13"/>
      <c r="B119" s="13"/>
      <c r="C119" s="13"/>
      <c r="D119" s="13"/>
      <c r="E119" s="12">
        <v>41</v>
      </c>
      <c r="F119" s="13" t="s">
        <v>2130</v>
      </c>
      <c r="G119" s="12" t="s">
        <v>2397</v>
      </c>
      <c r="H119" s="13"/>
      <c r="I119" s="13" t="s">
        <v>2072</v>
      </c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</row>
    <row r="120" spans="1:21">
      <c r="A120" s="13"/>
      <c r="B120" s="13"/>
      <c r="C120" s="13"/>
      <c r="D120" s="13"/>
      <c r="E120" s="12">
        <v>42</v>
      </c>
      <c r="F120" s="13" t="s">
        <v>2131</v>
      </c>
      <c r="G120" s="12" t="s">
        <v>2398</v>
      </c>
      <c r="H120" s="13"/>
      <c r="I120" s="14" t="s">
        <v>2011</v>
      </c>
      <c r="J120" s="15" t="s">
        <v>2024</v>
      </c>
      <c r="K120" s="15" t="s">
        <v>2300</v>
      </c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>
      <c r="A121" s="13"/>
      <c r="B121" s="13"/>
      <c r="C121" s="13"/>
      <c r="D121" s="13"/>
      <c r="E121" s="12">
        <v>43</v>
      </c>
      <c r="F121" s="13" t="s">
        <v>339</v>
      </c>
      <c r="G121" s="12" t="s">
        <v>2399</v>
      </c>
      <c r="H121" s="13"/>
      <c r="I121" s="14">
        <v>1</v>
      </c>
      <c r="J121" s="13" t="s">
        <v>2184</v>
      </c>
      <c r="K121" s="12" t="s">
        <v>2344</v>
      </c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>
      <c r="A122" s="17"/>
      <c r="B122" s="17"/>
      <c r="C122" s="17"/>
      <c r="D122" s="17"/>
      <c r="E122" s="18">
        <v>44</v>
      </c>
      <c r="F122" s="17" t="s">
        <v>2132</v>
      </c>
      <c r="G122" s="18" t="s">
        <v>2400</v>
      </c>
      <c r="H122" s="17"/>
      <c r="I122" s="16">
        <v>2</v>
      </c>
      <c r="J122" s="17" t="s">
        <v>2186</v>
      </c>
      <c r="K122" s="18" t="s">
        <v>2370</v>
      </c>
      <c r="L122" s="17"/>
      <c r="M122" s="17"/>
      <c r="N122" s="13"/>
      <c r="O122" s="17"/>
      <c r="P122" s="17"/>
      <c r="Q122" s="17"/>
      <c r="R122" s="17"/>
      <c r="S122" s="17"/>
      <c r="T122" s="17"/>
      <c r="U122" s="17"/>
    </row>
    <row r="123" spans="1:22">
      <c r="A123" s="13"/>
      <c r="B123" s="13"/>
      <c r="C123" s="13"/>
      <c r="D123" s="13"/>
      <c r="E123" s="12">
        <v>45</v>
      </c>
      <c r="F123" s="13" t="s">
        <v>341</v>
      </c>
      <c r="G123" s="12" t="s">
        <v>2401</v>
      </c>
      <c r="H123" s="13"/>
      <c r="I123" s="16">
        <v>3</v>
      </c>
      <c r="J123" s="13" t="s">
        <v>2188</v>
      </c>
      <c r="K123" s="12" t="s">
        <v>2322</v>
      </c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>
      <c r="A124" s="13"/>
      <c r="B124" s="13"/>
      <c r="C124" s="13"/>
      <c r="D124" s="13"/>
      <c r="E124" s="12">
        <v>46</v>
      </c>
      <c r="F124" s="13" t="s">
        <v>343</v>
      </c>
      <c r="G124" s="12" t="s">
        <v>2402</v>
      </c>
      <c r="H124" s="13"/>
      <c r="I124" s="14">
        <v>4</v>
      </c>
      <c r="J124" s="13" t="s">
        <v>967</v>
      </c>
      <c r="K124" s="12" t="s">
        <v>17</v>
      </c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>
      <c r="A125" s="13"/>
      <c r="B125" s="13"/>
      <c r="C125" s="13"/>
      <c r="D125" s="13"/>
      <c r="E125" s="12">
        <v>47</v>
      </c>
      <c r="F125" s="13" t="s">
        <v>345</v>
      </c>
      <c r="G125" s="12" t="s">
        <v>2403</v>
      </c>
      <c r="H125" s="13"/>
      <c r="I125" s="16">
        <v>5</v>
      </c>
      <c r="J125" s="13" t="s">
        <v>2191</v>
      </c>
      <c r="K125" s="12" t="s">
        <v>2330</v>
      </c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>
      <c r="A126" s="13"/>
      <c r="B126" s="13"/>
      <c r="C126" s="13"/>
      <c r="D126" s="13"/>
      <c r="E126" s="12">
        <v>48</v>
      </c>
      <c r="F126" s="13" t="s">
        <v>347</v>
      </c>
      <c r="G126" s="12" t="s">
        <v>2404</v>
      </c>
      <c r="H126" s="13"/>
      <c r="I126" s="14">
        <v>6</v>
      </c>
      <c r="J126" s="13" t="s">
        <v>2193</v>
      </c>
      <c r="K126" s="12" t="s">
        <v>2374</v>
      </c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>
      <c r="A127" s="13"/>
      <c r="B127" s="13"/>
      <c r="C127" s="13"/>
      <c r="D127" s="13"/>
      <c r="E127" s="12">
        <v>49</v>
      </c>
      <c r="F127" s="13" t="s">
        <v>349</v>
      </c>
      <c r="G127" s="12" t="s">
        <v>2322</v>
      </c>
      <c r="H127" s="13"/>
      <c r="I127" s="14">
        <v>7</v>
      </c>
      <c r="J127" s="13" t="s">
        <v>2195</v>
      </c>
      <c r="K127" s="12" t="s">
        <v>2377</v>
      </c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>
      <c r="A128" s="13"/>
      <c r="B128" s="13"/>
      <c r="C128" s="13"/>
      <c r="D128" s="13"/>
      <c r="E128" s="12">
        <v>50</v>
      </c>
      <c r="F128" s="13" t="s">
        <v>351</v>
      </c>
      <c r="G128" s="12" t="s">
        <v>2302</v>
      </c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>
      <c r="A129" s="13"/>
      <c r="B129" s="13"/>
      <c r="C129" s="13"/>
      <c r="D129" s="13"/>
      <c r="E129" s="12">
        <v>51</v>
      </c>
      <c r="F129" s="13" t="s">
        <v>2134</v>
      </c>
      <c r="G129" s="12" t="s">
        <v>2339</v>
      </c>
      <c r="H129" s="13"/>
      <c r="I129" s="13" t="s">
        <v>967</v>
      </c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>
      <c r="A130" s="13"/>
      <c r="B130" s="13"/>
      <c r="C130" s="13"/>
      <c r="D130" s="13"/>
      <c r="E130" s="12">
        <v>52</v>
      </c>
      <c r="F130" s="13" t="s">
        <v>355</v>
      </c>
      <c r="G130" s="12" t="s">
        <v>2340</v>
      </c>
      <c r="H130" s="13"/>
      <c r="I130" s="14" t="s">
        <v>2011</v>
      </c>
      <c r="J130" s="15" t="s">
        <v>2024</v>
      </c>
      <c r="K130" s="15" t="s">
        <v>2300</v>
      </c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>
      <c r="A131" s="13"/>
      <c r="B131" s="13"/>
      <c r="C131" s="13"/>
      <c r="D131" s="13"/>
      <c r="E131" s="12">
        <v>53</v>
      </c>
      <c r="F131" s="13" t="s">
        <v>357</v>
      </c>
      <c r="G131" s="12" t="s">
        <v>2341</v>
      </c>
      <c r="H131" s="13"/>
      <c r="I131" s="14">
        <v>1</v>
      </c>
      <c r="J131" s="13" t="s">
        <v>2405</v>
      </c>
      <c r="K131" s="12" t="s">
        <v>122</v>
      </c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>
      <c r="A132" s="13"/>
      <c r="B132" s="13"/>
      <c r="C132" s="13"/>
      <c r="D132" s="13"/>
      <c r="E132" s="12">
        <v>54</v>
      </c>
      <c r="F132" s="13" t="s">
        <v>2135</v>
      </c>
      <c r="G132" s="12" t="s">
        <v>2406</v>
      </c>
      <c r="H132" s="13"/>
      <c r="I132" s="16">
        <v>2</v>
      </c>
      <c r="J132" s="13" t="s">
        <v>2407</v>
      </c>
      <c r="K132" s="12" t="s">
        <v>6</v>
      </c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>
      <c r="A133" s="13"/>
      <c r="B133" s="13"/>
      <c r="C133" s="13"/>
      <c r="D133" s="13"/>
      <c r="E133" s="12">
        <v>55</v>
      </c>
      <c r="F133" s="13" t="s">
        <v>2136</v>
      </c>
      <c r="G133" s="12" t="s">
        <v>2408</v>
      </c>
      <c r="H133" s="13"/>
      <c r="I133" s="16">
        <v>3</v>
      </c>
      <c r="J133" s="13" t="s">
        <v>2409</v>
      </c>
      <c r="K133" s="12" t="s">
        <v>12</v>
      </c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>
      <c r="A134" s="13"/>
      <c r="B134" s="13"/>
      <c r="C134" s="13"/>
      <c r="D134" s="13"/>
      <c r="E134" s="12">
        <v>56</v>
      </c>
      <c r="F134" s="13" t="s">
        <v>361</v>
      </c>
      <c r="G134" s="12" t="s">
        <v>2410</v>
      </c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>
      <c r="A135" s="13"/>
      <c r="B135" s="13"/>
      <c r="C135" s="13"/>
      <c r="D135" s="13"/>
      <c r="E135" s="12">
        <v>57</v>
      </c>
      <c r="F135" s="13" t="s">
        <v>363</v>
      </c>
      <c r="G135" s="12" t="s">
        <v>2411</v>
      </c>
      <c r="H135" s="13"/>
      <c r="I135" s="13" t="s">
        <v>2074</v>
      </c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>
      <c r="A136" s="13"/>
      <c r="B136" s="13"/>
      <c r="C136" s="13"/>
      <c r="D136" s="13"/>
      <c r="E136" s="12">
        <v>58</v>
      </c>
      <c r="F136" s="13" t="s">
        <v>365</v>
      </c>
      <c r="G136" s="12" t="s">
        <v>2412</v>
      </c>
      <c r="H136" s="13"/>
      <c r="I136" s="14" t="s">
        <v>2011</v>
      </c>
      <c r="J136" s="15" t="s">
        <v>2024</v>
      </c>
      <c r="K136" s="15" t="s">
        <v>2300</v>
      </c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>
      <c r="A137" s="13"/>
      <c r="B137" s="13"/>
      <c r="C137" s="13"/>
      <c r="D137" s="13"/>
      <c r="E137" s="12">
        <v>59</v>
      </c>
      <c r="F137" s="13" t="s">
        <v>2137</v>
      </c>
      <c r="G137" s="12" t="s">
        <v>2413</v>
      </c>
      <c r="H137" s="13"/>
      <c r="I137" s="14">
        <v>1</v>
      </c>
      <c r="J137" s="13" t="s">
        <v>2197</v>
      </c>
      <c r="K137" s="12" t="s">
        <v>2414</v>
      </c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>
      <c r="A138" s="13"/>
      <c r="B138" s="13"/>
      <c r="C138" s="13"/>
      <c r="D138" s="13"/>
      <c r="E138" s="12">
        <v>60</v>
      </c>
      <c r="F138" s="13" t="s">
        <v>367</v>
      </c>
      <c r="G138" s="12" t="s">
        <v>2415</v>
      </c>
      <c r="H138" s="13"/>
      <c r="I138" s="16">
        <v>2</v>
      </c>
      <c r="J138" s="13" t="s">
        <v>2199</v>
      </c>
      <c r="K138" s="12" t="s">
        <v>2301</v>
      </c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>
      <c r="A139" s="13"/>
      <c r="B139" s="13"/>
      <c r="C139" s="13"/>
      <c r="D139" s="13"/>
      <c r="E139" s="12">
        <v>61</v>
      </c>
      <c r="F139" s="13" t="s">
        <v>369</v>
      </c>
      <c r="G139" s="12" t="s">
        <v>2416</v>
      </c>
      <c r="H139" s="13"/>
      <c r="I139" s="16">
        <v>3</v>
      </c>
      <c r="J139" s="13" t="s">
        <v>2201</v>
      </c>
      <c r="K139" s="12" t="s">
        <v>2322</v>
      </c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>
      <c r="A140" s="13"/>
      <c r="B140" s="13"/>
      <c r="C140" s="13"/>
      <c r="D140" s="13"/>
      <c r="E140" s="12">
        <v>62</v>
      </c>
      <c r="F140" s="13" t="s">
        <v>371</v>
      </c>
      <c r="G140" s="12" t="s">
        <v>2417</v>
      </c>
      <c r="H140" s="13"/>
      <c r="I140" s="14">
        <v>4</v>
      </c>
      <c r="J140" s="13" t="s">
        <v>2203</v>
      </c>
      <c r="K140" s="12" t="s">
        <v>2303</v>
      </c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>
      <c r="A141" s="13"/>
      <c r="B141" s="13"/>
      <c r="C141" s="13"/>
      <c r="D141" s="13"/>
      <c r="E141" s="12">
        <v>63</v>
      </c>
      <c r="F141" s="13" t="s">
        <v>373</v>
      </c>
      <c r="G141" s="12" t="s">
        <v>2418</v>
      </c>
      <c r="H141" s="13"/>
      <c r="I141" s="16">
        <v>5</v>
      </c>
      <c r="J141" s="13" t="s">
        <v>2205</v>
      </c>
      <c r="K141" s="12" t="s">
        <v>2419</v>
      </c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>
      <c r="A142" s="13"/>
      <c r="B142" s="13"/>
      <c r="C142" s="13"/>
      <c r="D142" s="13"/>
      <c r="E142" s="12">
        <v>64</v>
      </c>
      <c r="F142" s="13" t="s">
        <v>375</v>
      </c>
      <c r="G142" s="12" t="s">
        <v>2420</v>
      </c>
      <c r="H142" s="13"/>
      <c r="I142" s="16">
        <v>6</v>
      </c>
      <c r="J142" s="13" t="s">
        <v>2207</v>
      </c>
      <c r="K142" s="12" t="s">
        <v>27</v>
      </c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>
      <c r="A143" s="13"/>
      <c r="B143" s="13"/>
      <c r="C143" s="13"/>
      <c r="D143" s="13"/>
      <c r="E143" s="12">
        <v>65</v>
      </c>
      <c r="F143" s="13" t="s">
        <v>2138</v>
      </c>
      <c r="G143" s="12" t="s">
        <v>2421</v>
      </c>
      <c r="H143" s="13"/>
      <c r="I143" s="14">
        <v>7</v>
      </c>
      <c r="J143" s="13" t="s">
        <v>2209</v>
      </c>
      <c r="K143" s="12" t="s">
        <v>4</v>
      </c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>
      <c r="A144" s="13"/>
      <c r="B144" s="13"/>
      <c r="C144" s="13"/>
      <c r="D144" s="13"/>
      <c r="E144" s="12">
        <v>66</v>
      </c>
      <c r="F144" s="13" t="s">
        <v>2139</v>
      </c>
      <c r="G144" s="12" t="s">
        <v>2422</v>
      </c>
      <c r="H144" s="13"/>
      <c r="I144" s="16">
        <v>8</v>
      </c>
      <c r="J144" s="13" t="s">
        <v>967</v>
      </c>
      <c r="K144" s="12" t="s">
        <v>44</v>
      </c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>
      <c r="A145" s="13"/>
      <c r="B145" s="13"/>
      <c r="C145" s="13"/>
      <c r="D145" s="13"/>
      <c r="E145" s="12">
        <v>67</v>
      </c>
      <c r="F145" s="13" t="s">
        <v>2140</v>
      </c>
      <c r="G145" s="12" t="s">
        <v>2423</v>
      </c>
      <c r="H145" s="13"/>
      <c r="I145" s="16">
        <v>9</v>
      </c>
      <c r="J145" s="13" t="s">
        <v>2212</v>
      </c>
      <c r="K145" s="12" t="s">
        <v>48</v>
      </c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>
      <c r="A146" s="13"/>
      <c r="B146" s="13"/>
      <c r="C146" s="13"/>
      <c r="D146" s="13"/>
      <c r="E146" s="12">
        <v>68</v>
      </c>
      <c r="F146" s="13" t="s">
        <v>2141</v>
      </c>
      <c r="G146" s="12" t="s">
        <v>2424</v>
      </c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>
      <c r="A147" s="13"/>
      <c r="B147" s="13"/>
      <c r="C147" s="13"/>
      <c r="D147" s="13"/>
      <c r="E147" s="12">
        <v>69</v>
      </c>
      <c r="F147" s="13" t="s">
        <v>379</v>
      </c>
      <c r="G147" s="12" t="s">
        <v>2425</v>
      </c>
      <c r="H147" s="13"/>
      <c r="I147" s="13" t="s">
        <v>2207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>
      <c r="A148" s="13"/>
      <c r="B148" s="13"/>
      <c r="C148" s="13"/>
      <c r="D148" s="13"/>
      <c r="E148" s="12">
        <v>70</v>
      </c>
      <c r="F148" s="13" t="s">
        <v>381</v>
      </c>
      <c r="G148" s="12" t="s">
        <v>2426</v>
      </c>
      <c r="H148" s="13"/>
      <c r="I148" s="14" t="s">
        <v>2011</v>
      </c>
      <c r="J148" s="14" t="s">
        <v>2024</v>
      </c>
      <c r="K148" s="14" t="s">
        <v>2300</v>
      </c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>
      <c r="A149" s="13"/>
      <c r="B149" s="13"/>
      <c r="C149" s="13"/>
      <c r="D149" s="13"/>
      <c r="E149" s="12">
        <v>71</v>
      </c>
      <c r="F149" s="13" t="s">
        <v>383</v>
      </c>
      <c r="G149" s="12" t="s">
        <v>2427</v>
      </c>
      <c r="H149" s="13"/>
      <c r="I149" s="14">
        <v>1</v>
      </c>
      <c r="J149" s="19" t="s">
        <v>2428</v>
      </c>
      <c r="K149" s="14" t="s">
        <v>122</v>
      </c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>
      <c r="A150" s="13"/>
      <c r="B150" s="13"/>
      <c r="C150" s="13"/>
      <c r="D150" s="13"/>
      <c r="E150" s="12">
        <v>72</v>
      </c>
      <c r="F150" s="13" t="s">
        <v>385</v>
      </c>
      <c r="G150" s="12" t="s">
        <v>2429</v>
      </c>
      <c r="H150" s="13"/>
      <c r="I150" s="16">
        <v>2</v>
      </c>
      <c r="J150" s="19" t="s">
        <v>2430</v>
      </c>
      <c r="K150" s="14" t="s">
        <v>6</v>
      </c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>
      <c r="A151" s="13"/>
      <c r="B151" s="13"/>
      <c r="C151" s="13"/>
      <c r="D151" s="13"/>
      <c r="E151" s="12">
        <v>73</v>
      </c>
      <c r="F151" s="13" t="s">
        <v>2143</v>
      </c>
      <c r="G151" s="12" t="s">
        <v>2324</v>
      </c>
      <c r="H151" s="13"/>
      <c r="I151" s="16"/>
      <c r="J151" s="14"/>
      <c r="K151" s="14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>
      <c r="A152" s="13"/>
      <c r="B152" s="13"/>
      <c r="C152" s="13"/>
      <c r="D152" s="13"/>
      <c r="E152" s="12">
        <v>74</v>
      </c>
      <c r="F152" s="13" t="s">
        <v>2144</v>
      </c>
      <c r="G152" s="12" t="s">
        <v>2303</v>
      </c>
      <c r="H152" s="13"/>
      <c r="I152" s="13" t="s">
        <v>2209</v>
      </c>
      <c r="J152" s="14"/>
      <c r="K152" s="14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>
      <c r="A153" s="13"/>
      <c r="B153" s="13"/>
      <c r="C153" s="13"/>
      <c r="D153" s="13"/>
      <c r="E153" s="12">
        <v>75</v>
      </c>
      <c r="F153" s="13" t="s">
        <v>387</v>
      </c>
      <c r="G153" s="12" t="s">
        <v>1251</v>
      </c>
      <c r="H153" s="13"/>
      <c r="I153" s="14" t="s">
        <v>2011</v>
      </c>
      <c r="J153" s="14" t="s">
        <v>2024</v>
      </c>
      <c r="K153" s="14" t="s">
        <v>2300</v>
      </c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>
      <c r="A154" s="13"/>
      <c r="B154" s="13"/>
      <c r="C154" s="13"/>
      <c r="D154" s="13"/>
      <c r="E154" s="12">
        <v>76</v>
      </c>
      <c r="F154" s="13" t="s">
        <v>389</v>
      </c>
      <c r="G154" s="12" t="s">
        <v>2431</v>
      </c>
      <c r="H154" s="13"/>
      <c r="I154" s="14">
        <v>1</v>
      </c>
      <c r="J154" s="19" t="s">
        <v>2432</v>
      </c>
      <c r="K154" s="14" t="s">
        <v>122</v>
      </c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>
      <c r="A155" s="13"/>
      <c r="B155" s="13"/>
      <c r="C155" s="13"/>
      <c r="D155" s="13"/>
      <c r="E155" s="12">
        <v>77</v>
      </c>
      <c r="F155" s="13" t="s">
        <v>2145</v>
      </c>
      <c r="G155" s="12" t="s">
        <v>2433</v>
      </c>
      <c r="H155" s="13"/>
      <c r="I155" s="16">
        <v>2</v>
      </c>
      <c r="J155" s="19" t="s">
        <v>2434</v>
      </c>
      <c r="K155" s="14" t="s">
        <v>6</v>
      </c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>
      <c r="A156" s="13"/>
      <c r="B156" s="13"/>
      <c r="C156" s="13"/>
      <c r="D156" s="13"/>
      <c r="E156" s="12">
        <v>78</v>
      </c>
      <c r="F156" s="13" t="s">
        <v>391</v>
      </c>
      <c r="G156" s="12" t="s">
        <v>2435</v>
      </c>
      <c r="H156" s="13"/>
      <c r="I156" s="16"/>
      <c r="J156" s="14"/>
      <c r="K156" s="14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>
      <c r="A157" s="13"/>
      <c r="B157" s="13"/>
      <c r="C157" s="13"/>
      <c r="D157" s="13"/>
      <c r="E157" s="12">
        <v>79</v>
      </c>
      <c r="F157" s="13" t="s">
        <v>2146</v>
      </c>
      <c r="G157" s="12" t="s">
        <v>2436</v>
      </c>
      <c r="H157" s="13"/>
      <c r="I157" s="13" t="s">
        <v>967</v>
      </c>
      <c r="J157" s="14"/>
      <c r="K157" s="14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>
      <c r="A158" s="13"/>
      <c r="B158" s="13"/>
      <c r="C158" s="13"/>
      <c r="D158" s="13"/>
      <c r="E158" s="12">
        <v>80</v>
      </c>
      <c r="F158" s="13" t="s">
        <v>2147</v>
      </c>
      <c r="G158" s="12" t="s">
        <v>2437</v>
      </c>
      <c r="H158" s="13"/>
      <c r="I158" s="14" t="s">
        <v>2011</v>
      </c>
      <c r="J158" s="14" t="s">
        <v>2024</v>
      </c>
      <c r="K158" s="14" t="s">
        <v>2300</v>
      </c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>
      <c r="A159" s="13"/>
      <c r="B159" s="13"/>
      <c r="C159" s="13"/>
      <c r="D159" s="13"/>
      <c r="E159" s="12">
        <v>81</v>
      </c>
      <c r="F159" s="13" t="s">
        <v>2148</v>
      </c>
      <c r="G159" s="12" t="s">
        <v>2438</v>
      </c>
      <c r="H159" s="13"/>
      <c r="I159" s="14">
        <v>1</v>
      </c>
      <c r="J159" s="19" t="s">
        <v>2407</v>
      </c>
      <c r="K159" s="14" t="s">
        <v>122</v>
      </c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>
      <c r="A160" s="13"/>
      <c r="B160" s="13"/>
      <c r="C160" s="13"/>
      <c r="D160" s="13"/>
      <c r="E160" s="12">
        <v>82</v>
      </c>
      <c r="F160" s="13" t="s">
        <v>395</v>
      </c>
      <c r="G160" s="12" t="s">
        <v>2439</v>
      </c>
      <c r="H160" s="13"/>
      <c r="I160" s="16">
        <v>2</v>
      </c>
      <c r="J160" s="19" t="s">
        <v>2409</v>
      </c>
      <c r="K160" s="14" t="s">
        <v>6</v>
      </c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>
      <c r="A161" s="13"/>
      <c r="B161" s="13"/>
      <c r="C161" s="13"/>
      <c r="D161" s="13"/>
      <c r="E161" s="12">
        <v>83</v>
      </c>
      <c r="F161" s="13" t="s">
        <v>2149</v>
      </c>
      <c r="G161" s="12" t="s">
        <v>2440</v>
      </c>
      <c r="H161" s="13"/>
      <c r="I161" s="16">
        <v>3</v>
      </c>
      <c r="J161" s="19" t="s">
        <v>2441</v>
      </c>
      <c r="K161" s="14" t="s">
        <v>12</v>
      </c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>
      <c r="A162" s="13"/>
      <c r="B162" s="13"/>
      <c r="C162" s="13"/>
      <c r="D162" s="13"/>
      <c r="E162" s="12">
        <v>84</v>
      </c>
      <c r="F162" s="13" t="s">
        <v>397</v>
      </c>
      <c r="G162" s="12" t="s">
        <v>2442</v>
      </c>
      <c r="H162" s="13"/>
      <c r="I162" s="14">
        <v>4</v>
      </c>
      <c r="J162" s="19" t="s">
        <v>2405</v>
      </c>
      <c r="K162" s="14" t="s">
        <v>17</v>
      </c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>
      <c r="A163" s="13"/>
      <c r="B163" s="13"/>
      <c r="C163" s="13"/>
      <c r="D163" s="13"/>
      <c r="E163" s="12">
        <v>85</v>
      </c>
      <c r="F163" s="13" t="s">
        <v>399</v>
      </c>
      <c r="G163" s="12" t="s">
        <v>2443</v>
      </c>
      <c r="H163" s="13"/>
      <c r="I163" s="13"/>
      <c r="J163" s="14"/>
      <c r="K163" s="14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>
      <c r="A164" s="13"/>
      <c r="B164" s="13"/>
      <c r="C164" s="13"/>
      <c r="D164" s="13"/>
      <c r="E164" s="12">
        <v>86</v>
      </c>
      <c r="F164" s="13" t="s">
        <v>2150</v>
      </c>
      <c r="G164" s="12" t="s">
        <v>2444</v>
      </c>
      <c r="H164" s="13"/>
      <c r="I164" s="13" t="s">
        <v>2212</v>
      </c>
      <c r="J164" s="14"/>
      <c r="K164" s="14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>
      <c r="A165" s="13"/>
      <c r="B165" s="13"/>
      <c r="C165" s="13"/>
      <c r="D165" s="13"/>
      <c r="E165" s="12">
        <v>87</v>
      </c>
      <c r="F165" s="13" t="s">
        <v>2151</v>
      </c>
      <c r="G165" s="12" t="s">
        <v>2445</v>
      </c>
      <c r="H165" s="13"/>
      <c r="I165" s="14" t="s">
        <v>2011</v>
      </c>
      <c r="J165" s="14" t="s">
        <v>2024</v>
      </c>
      <c r="K165" s="14" t="s">
        <v>2300</v>
      </c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>
      <c r="A166" s="13"/>
      <c r="B166" s="13"/>
      <c r="C166" s="13"/>
      <c r="D166" s="13"/>
      <c r="E166" s="12">
        <v>88</v>
      </c>
      <c r="F166" s="13" t="s">
        <v>403</v>
      </c>
      <c r="G166" s="12" t="s">
        <v>2446</v>
      </c>
      <c r="H166" s="13"/>
      <c r="I166" s="14">
        <v>1</v>
      </c>
      <c r="J166" s="19" t="s">
        <v>2195</v>
      </c>
      <c r="K166" s="14" t="s">
        <v>122</v>
      </c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>
      <c r="A167" s="13"/>
      <c r="B167" s="13"/>
      <c r="C167" s="13"/>
      <c r="D167" s="13"/>
      <c r="E167" s="12">
        <v>89</v>
      </c>
      <c r="F167" s="13" t="s">
        <v>405</v>
      </c>
      <c r="G167" s="12" t="s">
        <v>2447</v>
      </c>
      <c r="H167" s="13"/>
      <c r="I167" s="16">
        <v>2</v>
      </c>
      <c r="J167" s="19" t="s">
        <v>2448</v>
      </c>
      <c r="K167" s="14" t="s">
        <v>6</v>
      </c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>
      <c r="A168" s="13"/>
      <c r="B168" s="13"/>
      <c r="C168" s="13"/>
      <c r="D168" s="13"/>
      <c r="E168" s="12">
        <v>90</v>
      </c>
      <c r="F168" s="13" t="s">
        <v>407</v>
      </c>
      <c r="G168" s="12" t="s">
        <v>2449</v>
      </c>
      <c r="H168" s="13"/>
      <c r="I168" s="16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>
      <c r="A169" s="13"/>
      <c r="B169" s="13"/>
      <c r="C169" s="13"/>
      <c r="D169" s="13"/>
      <c r="E169" s="12">
        <v>91</v>
      </c>
      <c r="F169" s="13" t="s">
        <v>409</v>
      </c>
      <c r="G169" s="12" t="s">
        <v>1308</v>
      </c>
      <c r="H169" s="13"/>
      <c r="I169" s="13" t="s">
        <v>2076</v>
      </c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>
      <c r="A170" s="13"/>
      <c r="B170" s="13"/>
      <c r="C170" s="13"/>
      <c r="D170" s="13"/>
      <c r="E170" s="12">
        <v>92</v>
      </c>
      <c r="F170" s="13" t="s">
        <v>411</v>
      </c>
      <c r="G170" s="12" t="s">
        <v>2450</v>
      </c>
      <c r="H170" s="13"/>
      <c r="I170" s="14" t="s">
        <v>2011</v>
      </c>
      <c r="J170" s="15" t="s">
        <v>2024</v>
      </c>
      <c r="K170" s="15" t="s">
        <v>2300</v>
      </c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>
      <c r="A171" s="13"/>
      <c r="B171" s="13"/>
      <c r="C171" s="13"/>
      <c r="D171" s="13"/>
      <c r="E171" s="12">
        <v>93</v>
      </c>
      <c r="F171" s="13" t="s">
        <v>2152</v>
      </c>
      <c r="G171" s="12" t="s">
        <v>2451</v>
      </c>
      <c r="H171" s="13"/>
      <c r="I171" s="14">
        <v>1</v>
      </c>
      <c r="J171" s="13" t="s">
        <v>580</v>
      </c>
      <c r="K171" s="12" t="s">
        <v>122</v>
      </c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>
      <c r="A172" s="13"/>
      <c r="B172" s="13"/>
      <c r="C172" s="13"/>
      <c r="D172" s="13"/>
      <c r="E172" s="12">
        <v>94</v>
      </c>
      <c r="F172" s="13" t="s">
        <v>415</v>
      </c>
      <c r="G172" s="12" t="s">
        <v>2452</v>
      </c>
      <c r="H172" s="13"/>
      <c r="I172" s="16">
        <v>2</v>
      </c>
      <c r="J172" s="13" t="s">
        <v>439</v>
      </c>
      <c r="K172" s="12" t="s">
        <v>6</v>
      </c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>
      <c r="A173" s="13"/>
      <c r="B173" s="13"/>
      <c r="C173" s="13"/>
      <c r="D173" s="13"/>
      <c r="E173" s="12">
        <v>95</v>
      </c>
      <c r="F173" s="13" t="s">
        <v>2153</v>
      </c>
      <c r="G173" s="12" t="s">
        <v>2453</v>
      </c>
      <c r="H173" s="13"/>
      <c r="I173" s="16">
        <v>3</v>
      </c>
      <c r="J173" s="13" t="s">
        <v>437</v>
      </c>
      <c r="K173" s="12" t="s">
        <v>12</v>
      </c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>
      <c r="A174" s="13"/>
      <c r="B174" s="13"/>
      <c r="C174" s="13"/>
      <c r="D174" s="13"/>
      <c r="E174" s="12">
        <v>96</v>
      </c>
      <c r="F174" s="13" t="s">
        <v>417</v>
      </c>
      <c r="G174" s="12" t="s">
        <v>2454</v>
      </c>
      <c r="H174" s="13"/>
      <c r="I174" s="14">
        <v>4</v>
      </c>
      <c r="J174" s="13" t="s">
        <v>435</v>
      </c>
      <c r="K174" s="12" t="s">
        <v>17</v>
      </c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>
      <c r="A175" s="13"/>
      <c r="B175" s="13"/>
      <c r="C175" s="13"/>
      <c r="D175" s="13"/>
      <c r="E175" s="13"/>
      <c r="F175" s="13"/>
      <c r="G175" s="13"/>
      <c r="H175" s="13"/>
      <c r="I175" s="14">
        <v>5</v>
      </c>
      <c r="J175" s="13" t="s">
        <v>431</v>
      </c>
      <c r="K175" s="12" t="s">
        <v>22</v>
      </c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>
      <c r="A176" s="13"/>
      <c r="B176" s="13"/>
      <c r="C176" s="13"/>
      <c r="D176" s="13"/>
      <c r="E176" s="13"/>
      <c r="F176" s="13"/>
      <c r="G176" s="13"/>
      <c r="H176" s="13"/>
      <c r="I176" s="14">
        <v>6</v>
      </c>
      <c r="J176" s="13" t="s">
        <v>429</v>
      </c>
      <c r="K176" s="12" t="s">
        <v>27</v>
      </c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>
      <c r="A177" s="13"/>
      <c r="B177" s="13"/>
      <c r="C177" s="13"/>
      <c r="D177" s="13"/>
      <c r="E177" s="13"/>
      <c r="F177" s="13"/>
      <c r="G177" s="13"/>
      <c r="H177" s="13"/>
      <c r="I177" s="14">
        <v>7</v>
      </c>
      <c r="J177" s="13" t="s">
        <v>433</v>
      </c>
      <c r="K177" s="12" t="s">
        <v>34</v>
      </c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>
      <c r="A178" s="13"/>
      <c r="B178" s="13"/>
      <c r="C178" s="13"/>
      <c r="D178" s="13"/>
      <c r="E178" s="13"/>
      <c r="F178" s="13"/>
      <c r="G178" s="13"/>
      <c r="H178" s="13"/>
      <c r="I178" s="14">
        <v>8</v>
      </c>
      <c r="J178" s="13" t="s">
        <v>445</v>
      </c>
      <c r="K178" s="12" t="s">
        <v>44</v>
      </c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>
      <c r="A179" s="13"/>
      <c r="B179" s="13"/>
      <c r="C179" s="13"/>
      <c r="D179" s="13"/>
      <c r="E179" s="13"/>
      <c r="F179" s="13"/>
      <c r="G179" s="13"/>
      <c r="H179" s="13"/>
      <c r="I179" s="14">
        <v>9</v>
      </c>
      <c r="J179" s="13" t="s">
        <v>441</v>
      </c>
      <c r="K179" s="12" t="s">
        <v>48</v>
      </c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>
      <c r="A180" s="13"/>
      <c r="B180" s="13"/>
      <c r="C180" s="13"/>
      <c r="D180" s="13"/>
      <c r="E180" s="13"/>
      <c r="F180" s="13"/>
      <c r="G180" s="13"/>
      <c r="H180" s="13"/>
      <c r="I180" s="14">
        <v>10</v>
      </c>
      <c r="J180" s="13" t="s">
        <v>443</v>
      </c>
      <c r="K180" s="12" t="s">
        <v>32</v>
      </c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>
      <c r="A182" s="13"/>
      <c r="B182" s="13"/>
      <c r="C182" s="13"/>
      <c r="D182" s="13"/>
      <c r="E182" s="13"/>
      <c r="F182" s="13"/>
      <c r="G182" s="13"/>
      <c r="H182" s="13"/>
      <c r="I182" s="13" t="s">
        <v>580</v>
      </c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>
      <c r="A183" s="13"/>
      <c r="B183" s="13"/>
      <c r="C183" s="13"/>
      <c r="D183" s="13"/>
      <c r="E183" s="13"/>
      <c r="F183" s="13"/>
      <c r="G183" s="13"/>
      <c r="H183" s="13"/>
      <c r="I183" s="14" t="s">
        <v>2011</v>
      </c>
      <c r="J183" s="14" t="s">
        <v>2024</v>
      </c>
      <c r="K183" s="14" t="s">
        <v>2300</v>
      </c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>
      <c r="A184" s="13"/>
      <c r="B184" s="13"/>
      <c r="C184" s="13"/>
      <c r="D184" s="13"/>
      <c r="E184" s="13"/>
      <c r="F184" s="13"/>
      <c r="G184" s="13"/>
      <c r="H184" s="13"/>
      <c r="I184" s="14">
        <v>1</v>
      </c>
      <c r="J184" s="13" t="s">
        <v>2455</v>
      </c>
      <c r="K184" s="12" t="s">
        <v>6</v>
      </c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>
      <c r="A185" s="13"/>
      <c r="B185" s="13"/>
      <c r="C185" s="13"/>
      <c r="D185" s="13"/>
      <c r="E185" s="13"/>
      <c r="F185" s="13"/>
      <c r="G185" s="13"/>
      <c r="H185" s="13"/>
      <c r="I185" s="14">
        <v>2</v>
      </c>
      <c r="J185" s="13" t="s">
        <v>2456</v>
      </c>
      <c r="K185" s="12" t="s">
        <v>12</v>
      </c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>
      <c r="A186" s="13"/>
      <c r="B186" s="13"/>
      <c r="C186" s="13"/>
      <c r="D186" s="13"/>
      <c r="E186" s="13"/>
      <c r="F186" s="13"/>
      <c r="G186" s="13"/>
      <c r="H186" s="13"/>
      <c r="I186" s="14">
        <v>3</v>
      </c>
      <c r="J186" s="13" t="s">
        <v>2457</v>
      </c>
      <c r="K186" s="12" t="s">
        <v>17</v>
      </c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>
      <c r="A187" s="13"/>
      <c r="B187" s="13"/>
      <c r="C187" s="13"/>
      <c r="D187" s="13"/>
      <c r="E187" s="13"/>
      <c r="F187" s="13"/>
      <c r="G187" s="13"/>
      <c r="H187" s="13"/>
      <c r="I187" s="14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>
      <c r="A188" s="13"/>
      <c r="B188" s="13"/>
      <c r="C188" s="13"/>
      <c r="D188" s="13"/>
      <c r="E188" s="13"/>
      <c r="F188" s="13"/>
      <c r="G188" s="13"/>
      <c r="H188" s="13"/>
      <c r="I188" s="13" t="s">
        <v>439</v>
      </c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>
      <c r="A189" s="13"/>
      <c r="B189" s="13"/>
      <c r="C189" s="13"/>
      <c r="D189" s="13"/>
      <c r="E189" s="13"/>
      <c r="F189" s="13"/>
      <c r="G189" s="13"/>
      <c r="H189" s="13"/>
      <c r="I189" s="14" t="s">
        <v>2011</v>
      </c>
      <c r="J189" s="14" t="s">
        <v>2024</v>
      </c>
      <c r="K189" s="14" t="s">
        <v>2300</v>
      </c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>
      <c r="A190" s="13"/>
      <c r="B190" s="13"/>
      <c r="C190" s="13"/>
      <c r="D190" s="13"/>
      <c r="E190" s="13"/>
      <c r="F190" s="13"/>
      <c r="G190" s="13"/>
      <c r="H190" s="13"/>
      <c r="I190" s="14">
        <v>1</v>
      </c>
      <c r="J190" s="13" t="s">
        <v>2458</v>
      </c>
      <c r="K190" s="12" t="s">
        <v>122</v>
      </c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>
      <c r="A191" s="13"/>
      <c r="B191" s="13"/>
      <c r="C191" s="13"/>
      <c r="D191" s="13"/>
      <c r="E191" s="13"/>
      <c r="F191" s="13"/>
      <c r="G191" s="13"/>
      <c r="H191" s="13"/>
      <c r="I191" s="14">
        <v>2</v>
      </c>
      <c r="J191" s="13" t="s">
        <v>2459</v>
      </c>
      <c r="K191" s="12" t="s">
        <v>12</v>
      </c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>
      <c r="A192" s="13"/>
      <c r="B192" s="13"/>
      <c r="C192" s="13"/>
      <c r="D192" s="13"/>
      <c r="E192" s="13"/>
      <c r="F192" s="13"/>
      <c r="G192" s="13"/>
      <c r="H192" s="13"/>
      <c r="I192" s="14">
        <v>3</v>
      </c>
      <c r="J192" s="13" t="s">
        <v>2460</v>
      </c>
      <c r="K192" s="12" t="s">
        <v>17</v>
      </c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>
      <c r="A193" s="13"/>
      <c r="B193" s="13"/>
      <c r="C193" s="13"/>
      <c r="D193" s="13"/>
      <c r="E193" s="13"/>
      <c r="F193" s="13"/>
      <c r="G193" s="13"/>
      <c r="H193" s="13"/>
      <c r="I193" s="14">
        <v>4</v>
      </c>
      <c r="J193" s="13" t="s">
        <v>2461</v>
      </c>
      <c r="K193" s="12" t="s">
        <v>22</v>
      </c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>
      <c r="A194" s="13"/>
      <c r="B194" s="13"/>
      <c r="C194" s="13"/>
      <c r="D194" s="13"/>
      <c r="E194" s="13"/>
      <c r="F194" s="13"/>
      <c r="G194" s="13"/>
      <c r="H194" s="13"/>
      <c r="I194" s="14"/>
      <c r="J194" s="13"/>
      <c r="K194" s="12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>
      <c r="A195" s="13"/>
      <c r="B195" s="13"/>
      <c r="C195" s="13"/>
      <c r="D195" s="13"/>
      <c r="E195" s="13"/>
      <c r="F195" s="13"/>
      <c r="G195" s="13"/>
      <c r="H195" s="13"/>
      <c r="I195" s="13" t="s">
        <v>437</v>
      </c>
      <c r="J195" s="13"/>
      <c r="K195" s="12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>
      <c r="A196" s="13"/>
      <c r="B196" s="13"/>
      <c r="C196" s="13"/>
      <c r="D196" s="13"/>
      <c r="E196" s="13"/>
      <c r="F196" s="13"/>
      <c r="G196" s="13"/>
      <c r="H196" s="13"/>
      <c r="I196" s="14" t="s">
        <v>2011</v>
      </c>
      <c r="J196" s="14" t="s">
        <v>2024</v>
      </c>
      <c r="K196" s="14" t="s">
        <v>2300</v>
      </c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>
      <c r="A197" s="13"/>
      <c r="B197" s="13"/>
      <c r="C197" s="13"/>
      <c r="D197" s="13"/>
      <c r="E197" s="13"/>
      <c r="F197" s="13"/>
      <c r="G197" s="13"/>
      <c r="H197" s="13"/>
      <c r="I197" s="14">
        <v>1</v>
      </c>
      <c r="J197" s="13" t="s">
        <v>2462</v>
      </c>
      <c r="K197" s="12" t="s">
        <v>122</v>
      </c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>
      <c r="A198" s="13"/>
      <c r="B198" s="13"/>
      <c r="C198" s="13"/>
      <c r="D198" s="13"/>
      <c r="E198" s="13"/>
      <c r="F198" s="13"/>
      <c r="G198" s="13"/>
      <c r="H198" s="13"/>
      <c r="I198" s="14">
        <v>2</v>
      </c>
      <c r="J198" s="13" t="s">
        <v>2463</v>
      </c>
      <c r="K198" s="12" t="s">
        <v>6</v>
      </c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>
      <c r="A199" s="13"/>
      <c r="B199" s="13"/>
      <c r="C199" s="13"/>
      <c r="D199" s="13"/>
      <c r="E199" s="13"/>
      <c r="F199" s="13"/>
      <c r="G199" s="13"/>
      <c r="H199" s="13"/>
      <c r="I199" s="14">
        <v>3</v>
      </c>
      <c r="J199" s="13" t="s">
        <v>2464</v>
      </c>
      <c r="K199" s="12" t="s">
        <v>17</v>
      </c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>
      <c r="A200" s="13"/>
      <c r="B200" s="13"/>
      <c r="C200" s="13"/>
      <c r="D200" s="13"/>
      <c r="E200" s="13"/>
      <c r="F200" s="13"/>
      <c r="G200" s="13"/>
      <c r="H200" s="13"/>
      <c r="I200" s="14">
        <v>4</v>
      </c>
      <c r="J200" s="13" t="s">
        <v>2465</v>
      </c>
      <c r="K200" s="12" t="s">
        <v>22</v>
      </c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>
      <c r="A201" s="13"/>
      <c r="B201" s="13"/>
      <c r="C201" s="13"/>
      <c r="D201" s="13"/>
      <c r="E201" s="13"/>
      <c r="F201" s="13"/>
      <c r="G201" s="13"/>
      <c r="H201" s="13"/>
      <c r="I201" s="14">
        <v>5</v>
      </c>
      <c r="J201" s="13" t="s">
        <v>2466</v>
      </c>
      <c r="K201" s="12" t="s">
        <v>27</v>
      </c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>
      <c r="A202" s="13"/>
      <c r="B202" s="13"/>
      <c r="C202" s="13"/>
      <c r="D202" s="13"/>
      <c r="E202" s="13"/>
      <c r="F202" s="13"/>
      <c r="G202" s="13"/>
      <c r="H202" s="13"/>
      <c r="I202" s="14">
        <v>6</v>
      </c>
      <c r="J202" s="13" t="s">
        <v>2467</v>
      </c>
      <c r="K202" s="12" t="s">
        <v>34</v>
      </c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>
      <c r="A203" s="13"/>
      <c r="B203" s="13"/>
      <c r="C203" s="13"/>
      <c r="D203" s="13"/>
      <c r="E203" s="13"/>
      <c r="F203" s="13"/>
      <c r="G203" s="13"/>
      <c r="H203" s="13"/>
      <c r="I203" s="14">
        <v>7</v>
      </c>
      <c r="J203" s="13" t="s">
        <v>2468</v>
      </c>
      <c r="K203" s="12" t="s">
        <v>44</v>
      </c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>
      <c r="A204" s="13"/>
      <c r="B204" s="13"/>
      <c r="C204" s="13"/>
      <c r="D204" s="13"/>
      <c r="E204" s="13"/>
      <c r="F204" s="13"/>
      <c r="G204" s="13"/>
      <c r="H204" s="13"/>
      <c r="I204" s="14">
        <v>8</v>
      </c>
      <c r="J204" s="13" t="s">
        <v>2469</v>
      </c>
      <c r="K204" s="12" t="s">
        <v>48</v>
      </c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>
      <c r="A205" s="13"/>
      <c r="B205" s="13"/>
      <c r="C205" s="13"/>
      <c r="D205" s="13"/>
      <c r="E205" s="13"/>
      <c r="F205" s="13"/>
      <c r="G205" s="13"/>
      <c r="H205" s="13"/>
      <c r="I205" s="14">
        <v>9</v>
      </c>
      <c r="J205" s="13" t="s">
        <v>2470</v>
      </c>
      <c r="K205" s="12" t="s">
        <v>32</v>
      </c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>
      <c r="A206" s="13"/>
      <c r="B206" s="13"/>
      <c r="C206" s="13"/>
      <c r="D206" s="13"/>
      <c r="E206" s="13"/>
      <c r="F206" s="13"/>
      <c r="G206" s="13"/>
      <c r="H206" s="13"/>
      <c r="I206" s="14">
        <v>10</v>
      </c>
      <c r="J206" s="13" t="s">
        <v>2471</v>
      </c>
      <c r="K206" s="12" t="s">
        <v>55</v>
      </c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>
      <c r="A207" s="13"/>
      <c r="B207" s="13"/>
      <c r="C207" s="13"/>
      <c r="D207" s="13"/>
      <c r="E207" s="13"/>
      <c r="F207" s="13"/>
      <c r="G207" s="13"/>
      <c r="H207" s="13"/>
      <c r="I207" s="14"/>
      <c r="J207" s="13"/>
      <c r="K207" s="12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>
      <c r="A208" s="13"/>
      <c r="B208" s="13"/>
      <c r="C208" s="13"/>
      <c r="D208" s="13"/>
      <c r="E208" s="13"/>
      <c r="F208" s="13"/>
      <c r="G208" s="13"/>
      <c r="H208" s="13"/>
      <c r="I208" s="13" t="s">
        <v>435</v>
      </c>
      <c r="J208" s="13"/>
      <c r="K208" s="12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>
      <c r="A209" s="13"/>
      <c r="B209" s="13"/>
      <c r="C209" s="13"/>
      <c r="D209" s="13"/>
      <c r="E209" s="13"/>
      <c r="F209" s="13"/>
      <c r="G209" s="13"/>
      <c r="H209" s="13"/>
      <c r="I209" s="14" t="s">
        <v>2011</v>
      </c>
      <c r="J209" s="14" t="s">
        <v>2024</v>
      </c>
      <c r="K209" s="14" t="s">
        <v>2300</v>
      </c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>
      <c r="A210" s="13"/>
      <c r="B210" s="13"/>
      <c r="C210" s="13"/>
      <c r="D210" s="13"/>
      <c r="E210" s="13"/>
      <c r="F210" s="13"/>
      <c r="G210" s="13"/>
      <c r="H210" s="13"/>
      <c r="I210" s="14">
        <v>1</v>
      </c>
      <c r="J210" s="13" t="s">
        <v>2472</v>
      </c>
      <c r="K210" s="12" t="s">
        <v>122</v>
      </c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>
      <c r="A211" s="13"/>
      <c r="B211" s="13"/>
      <c r="C211" s="13"/>
      <c r="D211" s="13"/>
      <c r="E211" s="13"/>
      <c r="F211" s="13"/>
      <c r="G211" s="13"/>
      <c r="H211" s="13"/>
      <c r="I211" s="14">
        <v>2</v>
      </c>
      <c r="J211" s="13" t="s">
        <v>2473</v>
      </c>
      <c r="K211" s="12" t="s">
        <v>6</v>
      </c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>
      <c r="A212" s="13"/>
      <c r="B212" s="13"/>
      <c r="C212" s="13"/>
      <c r="D212" s="13"/>
      <c r="E212" s="13"/>
      <c r="F212" s="13"/>
      <c r="G212" s="13"/>
      <c r="H212" s="13"/>
      <c r="I212" s="14">
        <v>3</v>
      </c>
      <c r="J212" s="13" t="s">
        <v>2474</v>
      </c>
      <c r="K212" s="12" t="s">
        <v>12</v>
      </c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>
      <c r="A213" s="13"/>
      <c r="B213" s="13"/>
      <c r="C213" s="13"/>
      <c r="D213" s="13"/>
      <c r="E213" s="13"/>
      <c r="F213" s="13"/>
      <c r="G213" s="13"/>
      <c r="H213" s="13"/>
      <c r="I213" s="14">
        <v>4</v>
      </c>
      <c r="J213" s="13" t="s">
        <v>2475</v>
      </c>
      <c r="K213" s="12" t="s">
        <v>22</v>
      </c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>
      <c r="A214" s="13"/>
      <c r="B214" s="13"/>
      <c r="C214" s="13"/>
      <c r="D214" s="13"/>
      <c r="E214" s="13"/>
      <c r="F214" s="13"/>
      <c r="G214" s="13"/>
      <c r="H214" s="13"/>
      <c r="I214" s="14">
        <v>5</v>
      </c>
      <c r="J214" s="13" t="s">
        <v>2476</v>
      </c>
      <c r="K214" s="12" t="s">
        <v>27</v>
      </c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2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>
      <c r="A216" s="13"/>
      <c r="B216" s="13"/>
      <c r="C216" s="13"/>
      <c r="D216" s="13"/>
      <c r="E216" s="13"/>
      <c r="F216" s="13"/>
      <c r="G216" s="13"/>
      <c r="H216" s="13"/>
      <c r="I216" s="13" t="s">
        <v>431</v>
      </c>
      <c r="J216" s="13"/>
      <c r="K216" s="12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>
      <c r="A217" s="13"/>
      <c r="B217" s="13"/>
      <c r="C217" s="13"/>
      <c r="D217" s="13"/>
      <c r="E217" s="13"/>
      <c r="F217" s="13"/>
      <c r="G217" s="13"/>
      <c r="H217" s="13"/>
      <c r="I217" s="14" t="s">
        <v>2011</v>
      </c>
      <c r="J217" s="14" t="s">
        <v>2024</v>
      </c>
      <c r="K217" s="14" t="s">
        <v>2300</v>
      </c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>
      <c r="A218" s="13"/>
      <c r="B218" s="13"/>
      <c r="C218" s="13"/>
      <c r="D218" s="13"/>
      <c r="E218" s="13"/>
      <c r="F218" s="13"/>
      <c r="G218" s="13"/>
      <c r="H218" s="13"/>
      <c r="I218" s="14">
        <v>1</v>
      </c>
      <c r="J218" s="13" t="s">
        <v>2477</v>
      </c>
      <c r="K218" s="12" t="s">
        <v>122</v>
      </c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>
      <c r="A219" s="13"/>
      <c r="B219" s="13"/>
      <c r="C219" s="13"/>
      <c r="D219" s="13"/>
      <c r="E219" s="13"/>
      <c r="F219" s="13"/>
      <c r="G219" s="13"/>
      <c r="H219" s="13"/>
      <c r="I219" s="14">
        <v>2</v>
      </c>
      <c r="J219" s="13" t="s">
        <v>2478</v>
      </c>
      <c r="K219" s="12" t="s">
        <v>6</v>
      </c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>
      <c r="A220" s="13"/>
      <c r="B220" s="13"/>
      <c r="C220" s="13"/>
      <c r="D220" s="13"/>
      <c r="E220" s="13"/>
      <c r="F220" s="13"/>
      <c r="G220" s="13"/>
      <c r="H220" s="13"/>
      <c r="I220" s="14">
        <v>3</v>
      </c>
      <c r="J220" s="13" t="s">
        <v>2479</v>
      </c>
      <c r="K220" s="12" t="s">
        <v>12</v>
      </c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>
      <c r="A221" s="13"/>
      <c r="B221" s="13"/>
      <c r="C221" s="13"/>
      <c r="D221" s="13"/>
      <c r="E221" s="13"/>
      <c r="F221" s="13"/>
      <c r="G221" s="13"/>
      <c r="H221" s="13"/>
      <c r="I221" s="14">
        <v>4</v>
      </c>
      <c r="J221" s="13" t="s">
        <v>2480</v>
      </c>
      <c r="K221" s="12" t="s">
        <v>17</v>
      </c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>
      <c r="A222" s="13"/>
      <c r="B222" s="13"/>
      <c r="C222" s="13"/>
      <c r="D222" s="13"/>
      <c r="E222" s="13"/>
      <c r="F222" s="13"/>
      <c r="G222" s="13"/>
      <c r="H222" s="13"/>
      <c r="I222" s="14">
        <v>5</v>
      </c>
      <c r="J222" s="13" t="s">
        <v>2481</v>
      </c>
      <c r="K222" s="12" t="s">
        <v>27</v>
      </c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>
      <c r="A223" s="13"/>
      <c r="B223" s="13"/>
      <c r="C223" s="13"/>
      <c r="D223" s="13"/>
      <c r="E223" s="13"/>
      <c r="F223" s="13"/>
      <c r="G223" s="13"/>
      <c r="H223" s="13"/>
      <c r="I223" s="14">
        <v>6</v>
      </c>
      <c r="J223" s="13" t="s">
        <v>2482</v>
      </c>
      <c r="K223" s="12" t="s">
        <v>34</v>
      </c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>
      <c r="A224" s="13"/>
      <c r="B224" s="13"/>
      <c r="C224" s="13"/>
      <c r="D224" s="13"/>
      <c r="E224" s="13"/>
      <c r="F224" s="13"/>
      <c r="G224" s="13"/>
      <c r="H224" s="13"/>
      <c r="I224" s="14">
        <v>7</v>
      </c>
      <c r="J224" s="13" t="s">
        <v>2483</v>
      </c>
      <c r="K224" s="12" t="s">
        <v>44</v>
      </c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>
      <c r="A225" s="13"/>
      <c r="B225" s="13"/>
      <c r="C225" s="13"/>
      <c r="D225" s="13"/>
      <c r="E225" s="13"/>
      <c r="F225" s="13"/>
      <c r="G225" s="13"/>
      <c r="H225" s="13"/>
      <c r="I225" s="14">
        <v>8</v>
      </c>
      <c r="J225" s="13" t="s">
        <v>2484</v>
      </c>
      <c r="K225" s="12" t="s">
        <v>48</v>
      </c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>
      <c r="A226" s="13"/>
      <c r="B226" s="13"/>
      <c r="C226" s="13"/>
      <c r="D226" s="13"/>
      <c r="E226" s="13"/>
      <c r="F226" s="13"/>
      <c r="G226" s="13"/>
      <c r="H226" s="13"/>
      <c r="I226" s="14">
        <v>9</v>
      </c>
      <c r="J226" s="13" t="s">
        <v>2485</v>
      </c>
      <c r="K226" s="12" t="s">
        <v>32</v>
      </c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>
      <c r="A227" s="13"/>
      <c r="B227" s="13"/>
      <c r="C227" s="13"/>
      <c r="D227" s="13"/>
      <c r="E227" s="13"/>
      <c r="F227" s="13"/>
      <c r="G227" s="13"/>
      <c r="H227" s="13"/>
      <c r="I227" s="14">
        <v>10</v>
      </c>
      <c r="J227" s="13" t="s">
        <v>2486</v>
      </c>
      <c r="K227" s="12" t="s">
        <v>55</v>
      </c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>
      <c r="A228" s="13"/>
      <c r="B228" s="13"/>
      <c r="C228" s="13"/>
      <c r="D228" s="13"/>
      <c r="E228" s="13"/>
      <c r="F228" s="13"/>
      <c r="G228" s="13"/>
      <c r="H228" s="13"/>
      <c r="I228" s="14">
        <v>11</v>
      </c>
      <c r="J228" s="13" t="s">
        <v>2487</v>
      </c>
      <c r="K228" s="12" t="s">
        <v>42</v>
      </c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>
      <c r="A229" s="13"/>
      <c r="B229" s="13"/>
      <c r="C229" s="13"/>
      <c r="D229" s="13"/>
      <c r="E229" s="13"/>
      <c r="F229" s="13"/>
      <c r="G229" s="13"/>
      <c r="H229" s="13"/>
      <c r="I229" s="14">
        <v>12</v>
      </c>
      <c r="J229" s="13" t="s">
        <v>2488</v>
      </c>
      <c r="K229" s="12" t="s">
        <v>62</v>
      </c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>
      <c r="A230" s="13"/>
      <c r="B230" s="13"/>
      <c r="C230" s="13"/>
      <c r="D230" s="13"/>
      <c r="E230" s="13"/>
      <c r="F230" s="13"/>
      <c r="G230" s="13"/>
      <c r="H230" s="13"/>
      <c r="I230" s="14">
        <v>13</v>
      </c>
      <c r="J230" s="13" t="s">
        <v>2489</v>
      </c>
      <c r="K230" s="12" t="s">
        <v>66</v>
      </c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>
      <c r="A231" s="13"/>
      <c r="B231" s="13"/>
      <c r="C231" s="13"/>
      <c r="D231" s="13"/>
      <c r="E231" s="13"/>
      <c r="F231" s="13"/>
      <c r="G231" s="13"/>
      <c r="H231" s="13"/>
      <c r="I231" s="14">
        <v>14</v>
      </c>
      <c r="J231" s="13" t="s">
        <v>2490</v>
      </c>
      <c r="K231" s="12" t="s">
        <v>70</v>
      </c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2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>
      <c r="A233" s="13"/>
      <c r="B233" s="13"/>
      <c r="C233" s="13"/>
      <c r="D233" s="13"/>
      <c r="E233" s="13"/>
      <c r="F233" s="13"/>
      <c r="G233" s="13"/>
      <c r="H233" s="13"/>
      <c r="I233" s="13" t="s">
        <v>429</v>
      </c>
      <c r="J233" s="13"/>
      <c r="K233" s="12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>
      <c r="A234" s="13"/>
      <c r="B234" s="13"/>
      <c r="C234" s="13"/>
      <c r="D234" s="13"/>
      <c r="E234" s="13"/>
      <c r="F234" s="13"/>
      <c r="G234" s="13"/>
      <c r="H234" s="13"/>
      <c r="I234" s="14" t="s">
        <v>2011</v>
      </c>
      <c r="J234" s="14" t="s">
        <v>2024</v>
      </c>
      <c r="K234" s="14" t="s">
        <v>2300</v>
      </c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>
      <c r="A235" s="13"/>
      <c r="B235" s="13"/>
      <c r="C235" s="13"/>
      <c r="D235" s="13"/>
      <c r="E235" s="13"/>
      <c r="F235" s="13"/>
      <c r="G235" s="13"/>
      <c r="H235" s="13"/>
      <c r="I235" s="14">
        <v>1</v>
      </c>
      <c r="J235" s="13" t="s">
        <v>2491</v>
      </c>
      <c r="K235" s="12" t="s">
        <v>122</v>
      </c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>
      <c r="A236" s="13"/>
      <c r="B236" s="13"/>
      <c r="C236" s="13"/>
      <c r="D236" s="13"/>
      <c r="E236" s="13"/>
      <c r="F236" s="13"/>
      <c r="G236" s="13"/>
      <c r="H236" s="13"/>
      <c r="I236" s="14">
        <v>2</v>
      </c>
      <c r="J236" s="13" t="s">
        <v>2492</v>
      </c>
      <c r="K236" s="12" t="s">
        <v>6</v>
      </c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>
      <c r="A237" s="13"/>
      <c r="B237" s="13"/>
      <c r="C237" s="13"/>
      <c r="D237" s="13"/>
      <c r="E237" s="13"/>
      <c r="F237" s="13"/>
      <c r="G237" s="13"/>
      <c r="H237" s="13"/>
      <c r="I237" s="14">
        <v>3</v>
      </c>
      <c r="J237" s="13" t="s">
        <v>2493</v>
      </c>
      <c r="K237" s="12" t="s">
        <v>12</v>
      </c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>
      <c r="A238" s="13"/>
      <c r="B238" s="13"/>
      <c r="C238" s="13"/>
      <c r="D238" s="13"/>
      <c r="E238" s="13"/>
      <c r="F238" s="13"/>
      <c r="G238" s="13"/>
      <c r="H238" s="13"/>
      <c r="I238" s="14">
        <v>4</v>
      </c>
      <c r="J238" s="13" t="s">
        <v>2494</v>
      </c>
      <c r="K238" s="12" t="s">
        <v>17</v>
      </c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>
      <c r="A239" s="13"/>
      <c r="B239" s="13"/>
      <c r="C239" s="13"/>
      <c r="D239" s="13"/>
      <c r="E239" s="13"/>
      <c r="F239" s="13"/>
      <c r="G239" s="13"/>
      <c r="H239" s="13"/>
      <c r="I239" s="14">
        <v>5</v>
      </c>
      <c r="J239" s="13" t="s">
        <v>2495</v>
      </c>
      <c r="K239" s="12" t="s">
        <v>22</v>
      </c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>
      <c r="A240" s="13"/>
      <c r="B240" s="13"/>
      <c r="C240" s="13"/>
      <c r="D240" s="13"/>
      <c r="E240" s="13"/>
      <c r="F240" s="13"/>
      <c r="G240" s="13"/>
      <c r="H240" s="13"/>
      <c r="I240" s="14">
        <v>6</v>
      </c>
      <c r="J240" s="13" t="s">
        <v>2496</v>
      </c>
      <c r="K240" s="12" t="s">
        <v>34</v>
      </c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>
      <c r="A241" s="13"/>
      <c r="B241" s="13"/>
      <c r="C241" s="13"/>
      <c r="D241" s="13"/>
      <c r="E241" s="13"/>
      <c r="F241" s="13"/>
      <c r="G241" s="13"/>
      <c r="H241" s="13"/>
      <c r="I241" s="14">
        <v>7</v>
      </c>
      <c r="J241" s="13" t="s">
        <v>2497</v>
      </c>
      <c r="K241" s="12" t="s">
        <v>44</v>
      </c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>
      <c r="A242" s="13"/>
      <c r="B242" s="13"/>
      <c r="C242" s="13"/>
      <c r="D242" s="13"/>
      <c r="E242" s="13"/>
      <c r="F242" s="13"/>
      <c r="G242" s="13"/>
      <c r="H242" s="13"/>
      <c r="I242" s="14">
        <v>8</v>
      </c>
      <c r="J242" s="13" t="s">
        <v>2498</v>
      </c>
      <c r="K242" s="12" t="s">
        <v>48</v>
      </c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2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>
      <c r="A244" s="13"/>
      <c r="B244" s="13"/>
      <c r="C244" s="13"/>
      <c r="D244" s="13"/>
      <c r="E244" s="13"/>
      <c r="F244" s="13"/>
      <c r="G244" s="13"/>
      <c r="H244" s="13"/>
      <c r="I244" s="13" t="s">
        <v>433</v>
      </c>
      <c r="J244" s="13"/>
      <c r="K244" s="12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>
      <c r="A245" s="13"/>
      <c r="B245" s="13"/>
      <c r="C245" s="13"/>
      <c r="D245" s="13"/>
      <c r="E245" s="13"/>
      <c r="F245" s="13"/>
      <c r="G245" s="13"/>
      <c r="H245" s="13"/>
      <c r="I245" s="14" t="s">
        <v>2011</v>
      </c>
      <c r="J245" s="14" t="s">
        <v>2024</v>
      </c>
      <c r="K245" s="14" t="s">
        <v>2300</v>
      </c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>
      <c r="A246" s="13"/>
      <c r="B246" s="13"/>
      <c r="C246" s="13"/>
      <c r="D246" s="13"/>
      <c r="E246" s="13"/>
      <c r="F246" s="13"/>
      <c r="G246" s="13"/>
      <c r="H246" s="13"/>
      <c r="I246" s="14">
        <v>1</v>
      </c>
      <c r="J246" s="13" t="s">
        <v>2499</v>
      </c>
      <c r="K246" s="12" t="s">
        <v>122</v>
      </c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>
      <c r="A247" s="13"/>
      <c r="B247" s="13"/>
      <c r="C247" s="13"/>
      <c r="D247" s="13"/>
      <c r="E247" s="13"/>
      <c r="F247" s="13"/>
      <c r="G247" s="13"/>
      <c r="H247" s="13"/>
      <c r="I247" s="14">
        <v>2</v>
      </c>
      <c r="J247" s="13" t="s">
        <v>2500</v>
      </c>
      <c r="K247" s="12" t="s">
        <v>6</v>
      </c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>
      <c r="A248" s="13"/>
      <c r="B248" s="13"/>
      <c r="C248" s="13"/>
      <c r="D248" s="13"/>
      <c r="E248" s="13"/>
      <c r="F248" s="13"/>
      <c r="G248" s="13"/>
      <c r="H248" s="13"/>
      <c r="I248" s="14">
        <v>3</v>
      </c>
      <c r="J248" s="13" t="s">
        <v>2501</v>
      </c>
      <c r="K248" s="12" t="s">
        <v>12</v>
      </c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>
      <c r="A249" s="13"/>
      <c r="B249" s="13"/>
      <c r="C249" s="13"/>
      <c r="D249" s="13"/>
      <c r="E249" s="13"/>
      <c r="F249" s="13"/>
      <c r="G249" s="13"/>
      <c r="H249" s="13"/>
      <c r="I249" s="14">
        <v>4</v>
      </c>
      <c r="J249" s="13" t="s">
        <v>2502</v>
      </c>
      <c r="K249" s="12" t="s">
        <v>17</v>
      </c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2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>
      <c r="A251" s="13"/>
      <c r="B251" s="13"/>
      <c r="C251" s="13"/>
      <c r="D251" s="13"/>
      <c r="E251" s="13"/>
      <c r="F251" s="13"/>
      <c r="G251" s="13"/>
      <c r="H251" s="13"/>
      <c r="I251" s="13" t="s">
        <v>445</v>
      </c>
      <c r="J251" s="13"/>
      <c r="K251" s="12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>
      <c r="A252" s="13"/>
      <c r="B252" s="13"/>
      <c r="C252" s="13"/>
      <c r="D252" s="13"/>
      <c r="E252" s="13"/>
      <c r="F252" s="13"/>
      <c r="G252" s="13"/>
      <c r="H252" s="13"/>
      <c r="I252" s="14" t="s">
        <v>2011</v>
      </c>
      <c r="J252" s="14" t="s">
        <v>2024</v>
      </c>
      <c r="K252" s="14" t="s">
        <v>2300</v>
      </c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>
      <c r="A253" s="13"/>
      <c r="B253" s="13"/>
      <c r="C253" s="13"/>
      <c r="D253" s="13"/>
      <c r="E253" s="13"/>
      <c r="F253" s="13"/>
      <c r="G253" s="13"/>
      <c r="H253" s="13"/>
      <c r="I253" s="14">
        <v>1</v>
      </c>
      <c r="J253" s="13" t="s">
        <v>2503</v>
      </c>
      <c r="K253" s="12" t="s">
        <v>122</v>
      </c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>
      <c r="A254" s="13"/>
      <c r="B254" s="13"/>
      <c r="C254" s="13"/>
      <c r="D254" s="13"/>
      <c r="E254" s="13"/>
      <c r="F254" s="13"/>
      <c r="G254" s="13"/>
      <c r="H254" s="13"/>
      <c r="I254" s="14">
        <v>2</v>
      </c>
      <c r="J254" s="13" t="s">
        <v>2504</v>
      </c>
      <c r="K254" s="12" t="s">
        <v>6</v>
      </c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>
      <c r="A255" s="13"/>
      <c r="B255" s="13"/>
      <c r="C255" s="13"/>
      <c r="D255" s="13"/>
      <c r="E255" s="13"/>
      <c r="F255" s="13"/>
      <c r="G255" s="13"/>
      <c r="H255" s="13"/>
      <c r="I255" s="14">
        <v>3</v>
      </c>
      <c r="J255" s="13" t="s">
        <v>2505</v>
      </c>
      <c r="K255" s="12" t="s">
        <v>12</v>
      </c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2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>
      <c r="A257" s="13"/>
      <c r="B257" s="13"/>
      <c r="C257" s="13"/>
      <c r="D257" s="13"/>
      <c r="E257" s="13"/>
      <c r="F257" s="13"/>
      <c r="G257" s="13"/>
      <c r="H257" s="13"/>
      <c r="I257" s="13" t="s">
        <v>441</v>
      </c>
      <c r="J257" s="13"/>
      <c r="K257" s="12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>
      <c r="A258" s="13"/>
      <c r="B258" s="13"/>
      <c r="C258" s="13"/>
      <c r="D258" s="13"/>
      <c r="E258" s="13"/>
      <c r="F258" s="13"/>
      <c r="G258" s="13"/>
      <c r="H258" s="13"/>
      <c r="I258" s="14" t="s">
        <v>2011</v>
      </c>
      <c r="J258" s="14" t="s">
        <v>2024</v>
      </c>
      <c r="K258" s="14" t="s">
        <v>2300</v>
      </c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>
      <c r="A259" s="13"/>
      <c r="B259" s="13"/>
      <c r="C259" s="13"/>
      <c r="D259" s="13"/>
      <c r="E259" s="13"/>
      <c r="F259" s="13"/>
      <c r="G259" s="13"/>
      <c r="H259" s="13"/>
      <c r="I259" s="14">
        <v>1</v>
      </c>
      <c r="J259" s="13" t="s">
        <v>2506</v>
      </c>
      <c r="K259" s="12" t="s">
        <v>122</v>
      </c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>
      <c r="A260" s="13"/>
      <c r="B260" s="13"/>
      <c r="C260" s="13"/>
      <c r="D260" s="13"/>
      <c r="E260" s="13"/>
      <c r="F260" s="13"/>
      <c r="G260" s="13"/>
      <c r="H260" s="13"/>
      <c r="I260" s="14">
        <v>2</v>
      </c>
      <c r="J260" s="13" t="s">
        <v>2507</v>
      </c>
      <c r="K260" s="12" t="s">
        <v>6</v>
      </c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>
      <c r="A261" s="13"/>
      <c r="B261" s="13"/>
      <c r="C261" s="13"/>
      <c r="D261" s="13"/>
      <c r="E261" s="13"/>
      <c r="F261" s="13"/>
      <c r="G261" s="13"/>
      <c r="H261" s="13"/>
      <c r="I261" s="14"/>
      <c r="J261" s="13"/>
      <c r="K261" s="12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>
      <c r="A262" s="13"/>
      <c r="B262" s="13"/>
      <c r="C262" s="13"/>
      <c r="D262" s="13"/>
      <c r="E262" s="13"/>
      <c r="F262" s="13"/>
      <c r="G262" s="13"/>
      <c r="H262" s="13"/>
      <c r="I262" s="13" t="s">
        <v>443</v>
      </c>
      <c r="J262" s="13"/>
      <c r="K262" s="12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>
      <c r="A263" s="13"/>
      <c r="B263" s="13"/>
      <c r="C263" s="13"/>
      <c r="D263" s="13"/>
      <c r="E263" s="13"/>
      <c r="F263" s="13"/>
      <c r="G263" s="13"/>
      <c r="H263" s="13"/>
      <c r="I263" s="14" t="s">
        <v>2011</v>
      </c>
      <c r="J263" s="14" t="s">
        <v>2024</v>
      </c>
      <c r="K263" s="14" t="s">
        <v>2300</v>
      </c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>
      <c r="A264" s="13"/>
      <c r="B264" s="13"/>
      <c r="C264" s="13"/>
      <c r="D264" s="13"/>
      <c r="E264" s="13"/>
      <c r="F264" s="13"/>
      <c r="G264" s="13"/>
      <c r="H264" s="13"/>
      <c r="I264" s="14">
        <v>1</v>
      </c>
      <c r="J264" s="13" t="s">
        <v>2508</v>
      </c>
      <c r="K264" s="12" t="s">
        <v>122</v>
      </c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>
      <c r="A265" s="13"/>
      <c r="B265" s="13"/>
      <c r="C265" s="13"/>
      <c r="D265" s="13"/>
      <c r="E265" s="13"/>
      <c r="F265" s="13"/>
      <c r="G265" s="13"/>
      <c r="H265" s="13"/>
      <c r="I265" s="14">
        <v>2</v>
      </c>
      <c r="J265" s="13" t="s">
        <v>2509</v>
      </c>
      <c r="K265" s="12" t="s">
        <v>6</v>
      </c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>
      <c r="A266" s="13"/>
      <c r="B266" s="13"/>
      <c r="C266" s="13"/>
      <c r="D266" s="13"/>
      <c r="E266" s="13"/>
      <c r="F266" s="13"/>
      <c r="G266" s="13"/>
      <c r="H266" s="13"/>
      <c r="I266" s="14">
        <v>3</v>
      </c>
      <c r="J266" s="13" t="s">
        <v>2510</v>
      </c>
      <c r="K266" s="12" t="s">
        <v>12</v>
      </c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>
      <c r="A267" s="13"/>
      <c r="B267" s="13"/>
      <c r="C267" s="13"/>
      <c r="D267" s="13"/>
      <c r="E267" s="13"/>
      <c r="F267" s="13"/>
      <c r="G267" s="13"/>
      <c r="H267" s="13"/>
      <c r="I267" s="14">
        <v>4</v>
      </c>
      <c r="J267" s="13" t="s">
        <v>2511</v>
      </c>
      <c r="K267" s="12" t="s">
        <v>17</v>
      </c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>
      <c r="A268" s="13"/>
      <c r="B268" s="13"/>
      <c r="C268" s="13"/>
      <c r="D268" s="13"/>
      <c r="E268" s="13"/>
      <c r="F268" s="13"/>
      <c r="G268" s="13"/>
      <c r="H268" s="13"/>
      <c r="I268" s="14">
        <v>5</v>
      </c>
      <c r="J268" s="13" t="s">
        <v>2512</v>
      </c>
      <c r="K268" s="12" t="s">
        <v>22</v>
      </c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>
      <c r="A270" s="13"/>
      <c r="B270" s="13"/>
      <c r="C270" s="13"/>
      <c r="D270" s="13"/>
      <c r="E270" s="13"/>
      <c r="F270" s="13"/>
      <c r="G270" s="13"/>
      <c r="H270" s="13"/>
      <c r="I270" s="13" t="s">
        <v>2078</v>
      </c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>
      <c r="A271" s="13"/>
      <c r="B271" s="13"/>
      <c r="C271" s="13"/>
      <c r="D271" s="13"/>
      <c r="E271" s="13"/>
      <c r="F271" s="13"/>
      <c r="G271" s="13"/>
      <c r="H271" s="13"/>
      <c r="I271" s="14" t="s">
        <v>2011</v>
      </c>
      <c r="J271" s="14" t="s">
        <v>2024</v>
      </c>
      <c r="K271" s="14" t="s">
        <v>2300</v>
      </c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>
      <c r="A272" s="13"/>
      <c r="B272" s="13"/>
      <c r="C272" s="13"/>
      <c r="D272" s="13"/>
      <c r="E272" s="13"/>
      <c r="F272" s="13"/>
      <c r="G272" s="13"/>
      <c r="H272" s="13"/>
      <c r="I272" s="14">
        <v>1</v>
      </c>
      <c r="J272" s="13" t="s">
        <v>2224</v>
      </c>
      <c r="K272" s="12" t="s">
        <v>2344</v>
      </c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>
      <c r="A273" s="13"/>
      <c r="B273" s="13"/>
      <c r="C273" s="13"/>
      <c r="D273" s="13"/>
      <c r="E273" s="13"/>
      <c r="F273" s="13"/>
      <c r="G273" s="13"/>
      <c r="H273" s="13"/>
      <c r="I273" s="14">
        <v>2</v>
      </c>
      <c r="J273" s="13" t="s">
        <v>2225</v>
      </c>
      <c r="K273" s="12" t="s">
        <v>2414</v>
      </c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>
      <c r="A274" s="13"/>
      <c r="B274" s="13"/>
      <c r="C274" s="13"/>
      <c r="D274" s="13"/>
      <c r="E274" s="13"/>
      <c r="F274" s="13"/>
      <c r="G274" s="13"/>
      <c r="H274" s="13"/>
      <c r="I274" s="14">
        <v>3</v>
      </c>
      <c r="J274" s="13" t="s">
        <v>2226</v>
      </c>
      <c r="K274" s="12" t="s">
        <v>110</v>
      </c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>
      <c r="A275" s="13"/>
      <c r="B275" s="13"/>
      <c r="C275" s="13"/>
      <c r="D275" s="13"/>
      <c r="E275" s="13"/>
      <c r="F275" s="13"/>
      <c r="G275" s="13"/>
      <c r="H275" s="13"/>
      <c r="I275" s="14">
        <v>4</v>
      </c>
      <c r="J275" s="13" t="s">
        <v>2227</v>
      </c>
      <c r="K275" s="12" t="s">
        <v>2306</v>
      </c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>
      <c r="A276" s="13"/>
      <c r="B276" s="13"/>
      <c r="C276" s="13"/>
      <c r="D276" s="13"/>
      <c r="E276" s="13"/>
      <c r="F276" s="13"/>
      <c r="G276" s="13"/>
      <c r="H276" s="13"/>
      <c r="I276" s="14">
        <v>5</v>
      </c>
      <c r="J276" s="13" t="s">
        <v>2228</v>
      </c>
      <c r="K276" s="12" t="s">
        <v>2307</v>
      </c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>
      <c r="A277" s="13"/>
      <c r="B277" s="13"/>
      <c r="C277" s="13"/>
      <c r="D277" s="13"/>
      <c r="E277" s="13"/>
      <c r="F277" s="13"/>
      <c r="G277" s="13"/>
      <c r="H277" s="13"/>
      <c r="I277" s="14">
        <v>6</v>
      </c>
      <c r="J277" s="13" t="s">
        <v>2229</v>
      </c>
      <c r="K277" s="12" t="s">
        <v>2309</v>
      </c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>
      <c r="A278" s="13"/>
      <c r="B278" s="13"/>
      <c r="C278" s="13"/>
      <c r="D278" s="13"/>
      <c r="E278" s="13"/>
      <c r="F278" s="13"/>
      <c r="G278" s="13"/>
      <c r="H278" s="13"/>
      <c r="I278" s="14">
        <v>7</v>
      </c>
      <c r="J278" s="13" t="s">
        <v>2230</v>
      </c>
      <c r="K278" s="12" t="s">
        <v>2351</v>
      </c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>
      <c r="A279" s="13"/>
      <c r="B279" s="13"/>
      <c r="C279" s="13"/>
      <c r="D279" s="13"/>
      <c r="E279" s="13"/>
      <c r="F279" s="13"/>
      <c r="G279" s="13"/>
      <c r="H279" s="13"/>
      <c r="I279" s="14">
        <v>8</v>
      </c>
      <c r="J279" s="13" t="s">
        <v>2231</v>
      </c>
      <c r="K279" s="12" t="s">
        <v>2311</v>
      </c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>
      <c r="A280" s="13"/>
      <c r="B280" s="13"/>
      <c r="C280" s="13"/>
      <c r="D280" s="13"/>
      <c r="E280" s="13"/>
      <c r="F280" s="13"/>
      <c r="G280" s="13"/>
      <c r="H280" s="13"/>
      <c r="I280" s="14">
        <v>9</v>
      </c>
      <c r="J280" s="13" t="s">
        <v>2232</v>
      </c>
      <c r="K280" s="12" t="s">
        <v>2314</v>
      </c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>
      <c r="A282" s="13"/>
      <c r="B282" s="13"/>
      <c r="C282" s="13"/>
      <c r="D282" s="13"/>
      <c r="E282" s="13"/>
      <c r="F282" s="13"/>
      <c r="G282" s="13"/>
      <c r="H282" s="13"/>
      <c r="I282" s="13" t="s">
        <v>675</v>
      </c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>
      <c r="A283" s="13"/>
      <c r="B283" s="13"/>
      <c r="C283" s="13"/>
      <c r="D283" s="13"/>
      <c r="E283" s="13"/>
      <c r="F283" s="13"/>
      <c r="G283" s="13"/>
      <c r="H283" s="13"/>
      <c r="I283" s="14" t="s">
        <v>2011</v>
      </c>
      <c r="J283" s="14" t="s">
        <v>2024</v>
      </c>
      <c r="K283" s="14" t="s">
        <v>2300</v>
      </c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>
      <c r="A284" s="13"/>
      <c r="B284" s="13"/>
      <c r="C284" s="13"/>
      <c r="D284" s="13"/>
      <c r="E284" s="13"/>
      <c r="F284" s="13"/>
      <c r="G284" s="13"/>
      <c r="H284" s="13"/>
      <c r="I284" s="14">
        <v>1</v>
      </c>
      <c r="J284" s="13" t="s">
        <v>676</v>
      </c>
      <c r="K284" s="12" t="s">
        <v>2344</v>
      </c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>
      <c r="A285" s="13"/>
      <c r="B285" s="13"/>
      <c r="C285" s="13"/>
      <c r="D285" s="13"/>
      <c r="E285" s="13"/>
      <c r="F285" s="13"/>
      <c r="G285" s="13"/>
      <c r="H285" s="13"/>
      <c r="I285" s="14">
        <v>2</v>
      </c>
      <c r="J285" s="13" t="s">
        <v>678</v>
      </c>
      <c r="K285" s="12" t="s">
        <v>2370</v>
      </c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>
      <c r="A286" s="13"/>
      <c r="B286" s="13"/>
      <c r="C286" s="13"/>
      <c r="D286" s="13"/>
      <c r="E286" s="13"/>
      <c r="F286" s="13"/>
      <c r="G286" s="13"/>
      <c r="H286" s="13"/>
      <c r="I286" s="14">
        <v>3</v>
      </c>
      <c r="J286" s="13" t="s">
        <v>680</v>
      </c>
      <c r="K286" s="12" t="s">
        <v>2322</v>
      </c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>
      <c r="A287" s="13"/>
      <c r="B287" s="13"/>
      <c r="C287" s="13"/>
      <c r="D287" s="13"/>
      <c r="E287" s="13"/>
      <c r="F287" s="13"/>
      <c r="G287" s="13"/>
      <c r="H287" s="13"/>
      <c r="I287" s="14">
        <v>4</v>
      </c>
      <c r="J287" s="13" t="s">
        <v>682</v>
      </c>
      <c r="K287" s="12" t="s">
        <v>2324</v>
      </c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>
      <c r="A288" s="13"/>
      <c r="B288" s="13"/>
      <c r="C288" s="13"/>
      <c r="D288" s="13"/>
      <c r="E288" s="13"/>
      <c r="F288" s="13"/>
      <c r="G288" s="13"/>
      <c r="H288" s="13"/>
      <c r="I288" s="14">
        <v>5</v>
      </c>
      <c r="J288" s="13" t="s">
        <v>684</v>
      </c>
      <c r="K288" s="12" t="s">
        <v>2326</v>
      </c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>
      <c r="A289" s="13"/>
      <c r="B289" s="13"/>
      <c r="C289" s="13"/>
      <c r="D289" s="13"/>
      <c r="E289" s="13"/>
      <c r="F289" s="13"/>
      <c r="G289" s="13"/>
      <c r="H289" s="13"/>
      <c r="I289" s="14">
        <v>6</v>
      </c>
      <c r="J289" s="13" t="s">
        <v>686</v>
      </c>
      <c r="K289" s="12" t="s">
        <v>2328</v>
      </c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>
      <c r="A290" s="13"/>
      <c r="B290" s="13"/>
      <c r="C290" s="13"/>
      <c r="D290" s="13"/>
      <c r="E290" s="13"/>
      <c r="F290" s="13"/>
      <c r="G290" s="13"/>
      <c r="H290" s="13"/>
      <c r="I290" s="14">
        <v>7</v>
      </c>
      <c r="J290" s="13" t="s">
        <v>688</v>
      </c>
      <c r="K290" s="12" t="s">
        <v>2330</v>
      </c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>
      <c r="A291" s="13"/>
      <c r="B291" s="13"/>
      <c r="C291" s="13"/>
      <c r="D291" s="13"/>
      <c r="E291" s="13"/>
      <c r="F291" s="13"/>
      <c r="G291" s="13"/>
      <c r="H291" s="13"/>
      <c r="I291" s="14">
        <v>8</v>
      </c>
      <c r="J291" s="13" t="s">
        <v>690</v>
      </c>
      <c r="K291" s="12" t="s">
        <v>2374</v>
      </c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>
      <c r="A292" s="13"/>
      <c r="B292" s="13"/>
      <c r="C292" s="13"/>
      <c r="D292" s="13"/>
      <c r="E292" s="13"/>
      <c r="F292" s="13"/>
      <c r="G292" s="13"/>
      <c r="H292" s="13"/>
      <c r="I292" s="14">
        <v>9</v>
      </c>
      <c r="J292" s="13" t="s">
        <v>692</v>
      </c>
      <c r="K292" s="12" t="s">
        <v>2375</v>
      </c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>
      <c r="A293" s="13"/>
      <c r="B293" s="13"/>
      <c r="C293" s="13"/>
      <c r="D293" s="13"/>
      <c r="E293" s="13"/>
      <c r="F293" s="13"/>
      <c r="G293" s="13"/>
      <c r="H293" s="13"/>
      <c r="I293" s="14">
        <v>10</v>
      </c>
      <c r="J293" s="13" t="s">
        <v>694</v>
      </c>
      <c r="K293" s="12" t="s">
        <v>2376</v>
      </c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>
      <c r="A294" s="13"/>
      <c r="B294" s="13"/>
      <c r="C294" s="13"/>
      <c r="D294" s="13"/>
      <c r="E294" s="13"/>
      <c r="F294" s="13"/>
      <c r="G294" s="13"/>
      <c r="H294" s="13"/>
      <c r="I294" s="14">
        <v>11</v>
      </c>
      <c r="J294" s="13" t="s">
        <v>696</v>
      </c>
      <c r="K294" s="12" t="s">
        <v>2377</v>
      </c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>
      <c r="A295" s="13"/>
      <c r="B295" s="13"/>
      <c r="C295" s="13"/>
      <c r="D295" s="13"/>
      <c r="E295" s="13"/>
      <c r="F295" s="13"/>
      <c r="G295" s="13"/>
      <c r="H295" s="13"/>
      <c r="I295" s="14">
        <v>12</v>
      </c>
      <c r="J295" s="13" t="s">
        <v>698</v>
      </c>
      <c r="K295" s="12" t="s">
        <v>2378</v>
      </c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>
      <c r="A296" s="13"/>
      <c r="B296" s="13"/>
      <c r="C296" s="13"/>
      <c r="D296" s="13"/>
      <c r="E296" s="13"/>
      <c r="F296" s="13"/>
      <c r="G296" s="13"/>
      <c r="H296" s="13"/>
      <c r="I296" s="14">
        <v>13</v>
      </c>
      <c r="J296" s="13" t="s">
        <v>700</v>
      </c>
      <c r="K296" s="12" t="s">
        <v>2379</v>
      </c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>
      <c r="A297" s="13"/>
      <c r="B297" s="13"/>
      <c r="C297" s="13"/>
      <c r="D297" s="13"/>
      <c r="E297" s="13"/>
      <c r="F297" s="13"/>
      <c r="G297" s="13"/>
      <c r="H297" s="13"/>
      <c r="I297" s="14">
        <v>14</v>
      </c>
      <c r="J297" s="13" t="s">
        <v>702</v>
      </c>
      <c r="K297" s="12" t="s">
        <v>2063</v>
      </c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>
      <c r="A298" s="13"/>
      <c r="B298" s="13"/>
      <c r="C298" s="13"/>
      <c r="D298" s="13"/>
      <c r="E298" s="13"/>
      <c r="F298" s="13"/>
      <c r="G298" s="13"/>
      <c r="H298" s="13"/>
      <c r="I298" s="14">
        <v>15</v>
      </c>
      <c r="J298" s="13" t="s">
        <v>710</v>
      </c>
      <c r="K298" s="12" t="s">
        <v>2088</v>
      </c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>
      <c r="A299" s="13"/>
      <c r="B299" s="13"/>
      <c r="C299" s="13"/>
      <c r="D299" s="13"/>
      <c r="E299" s="13"/>
      <c r="F299" s="13"/>
      <c r="G299" s="13"/>
      <c r="H299" s="13"/>
      <c r="I299" s="14">
        <v>16</v>
      </c>
      <c r="J299" s="13" t="s">
        <v>712</v>
      </c>
      <c r="K299" s="12" t="s">
        <v>2513</v>
      </c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>
      <c r="A300" s="13"/>
      <c r="B300" s="13"/>
      <c r="C300" s="13"/>
      <c r="D300" s="13"/>
      <c r="E300" s="13"/>
      <c r="F300" s="13"/>
      <c r="G300" s="13"/>
      <c r="H300" s="13"/>
      <c r="I300" s="14">
        <v>17</v>
      </c>
      <c r="J300" s="13" t="s">
        <v>704</v>
      </c>
      <c r="K300" s="12" t="s">
        <v>2</v>
      </c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>
      <c r="A301" s="13"/>
      <c r="B301" s="13"/>
      <c r="C301" s="13"/>
      <c r="D301" s="13"/>
      <c r="E301" s="13"/>
      <c r="F301" s="13"/>
      <c r="G301" s="13"/>
      <c r="H301" s="13"/>
      <c r="I301" s="14">
        <v>18</v>
      </c>
      <c r="J301" s="13" t="s">
        <v>706</v>
      </c>
      <c r="K301" s="12" t="s">
        <v>118</v>
      </c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>
      <c r="A302" s="13"/>
      <c r="B302" s="13"/>
      <c r="C302" s="13"/>
      <c r="D302" s="13"/>
      <c r="E302" s="13"/>
      <c r="F302" s="13"/>
      <c r="G302" s="13"/>
      <c r="H302" s="13"/>
      <c r="I302" s="14">
        <v>19</v>
      </c>
      <c r="J302" s="13" t="s">
        <v>708</v>
      </c>
      <c r="K302" s="12" t="s">
        <v>2514</v>
      </c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>
      <c r="A303" s="13"/>
      <c r="B303" s="13"/>
      <c r="C303" s="13"/>
      <c r="D303" s="13"/>
      <c r="E303" s="13"/>
      <c r="F303" s="13"/>
      <c r="G303" s="13"/>
      <c r="H303" s="13"/>
      <c r="I303" s="14">
        <v>20</v>
      </c>
      <c r="J303" s="13" t="s">
        <v>714</v>
      </c>
      <c r="K303" s="12" t="s">
        <v>2058</v>
      </c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>
      <c r="A304" s="13"/>
      <c r="B304" s="13"/>
      <c r="C304" s="13"/>
      <c r="D304" s="13"/>
      <c r="E304" s="13"/>
      <c r="F304" s="13"/>
      <c r="G304" s="13"/>
      <c r="H304" s="13"/>
      <c r="I304" s="14"/>
      <c r="J304" s="13"/>
      <c r="K304" s="12" t="s">
        <v>2317</v>
      </c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>
      <c r="A306" s="13"/>
      <c r="B306" s="13"/>
      <c r="C306" s="13"/>
      <c r="D306" s="13"/>
      <c r="E306" s="13"/>
      <c r="F306" s="13"/>
      <c r="G306" s="13"/>
      <c r="H306" s="13"/>
      <c r="I306" s="13" t="s">
        <v>2081</v>
      </c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>
      <c r="A307" s="13"/>
      <c r="B307" s="13"/>
      <c r="C307" s="13"/>
      <c r="D307" s="13"/>
      <c r="E307" s="13"/>
      <c r="F307" s="13"/>
      <c r="G307" s="13"/>
      <c r="H307" s="13"/>
      <c r="I307" s="14" t="s">
        <v>2011</v>
      </c>
      <c r="J307" s="14" t="s">
        <v>2024</v>
      </c>
      <c r="K307" s="14" t="s">
        <v>2300</v>
      </c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>
      <c r="A308" s="13"/>
      <c r="B308" s="13"/>
      <c r="C308" s="13"/>
      <c r="D308" s="13"/>
      <c r="E308" s="13"/>
      <c r="F308" s="13"/>
      <c r="G308" s="13"/>
      <c r="H308" s="13"/>
      <c r="I308" s="14">
        <v>1</v>
      </c>
      <c r="J308" s="13" t="s">
        <v>641</v>
      </c>
      <c r="K308" s="12" t="s">
        <v>2344</v>
      </c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>
      <c r="A309" s="13"/>
      <c r="B309" s="13"/>
      <c r="C309" s="13"/>
      <c r="D309" s="13"/>
      <c r="E309" s="13"/>
      <c r="F309" s="13"/>
      <c r="G309" s="13"/>
      <c r="H309" s="13"/>
      <c r="I309" s="14">
        <v>2</v>
      </c>
      <c r="J309" s="13" t="s">
        <v>643</v>
      </c>
      <c r="K309" s="12" t="s">
        <v>2370</v>
      </c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>
      <c r="A310" s="13"/>
      <c r="B310" s="13"/>
      <c r="C310" s="13"/>
      <c r="D310" s="13"/>
      <c r="E310" s="13"/>
      <c r="F310" s="13"/>
      <c r="G310" s="13"/>
      <c r="H310" s="13"/>
      <c r="I310" s="14">
        <v>3</v>
      </c>
      <c r="J310" s="13" t="s">
        <v>2256</v>
      </c>
      <c r="K310" s="12" t="s">
        <v>2322</v>
      </c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2" t="s">
        <v>2317</v>
      </c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>
      <c r="A312" s="13"/>
      <c r="B312" s="13"/>
      <c r="C312" s="13"/>
      <c r="D312" s="13"/>
      <c r="E312" s="13"/>
      <c r="F312" s="13"/>
      <c r="G312" s="13"/>
      <c r="H312" s="13"/>
      <c r="I312" s="13" t="s">
        <v>716</v>
      </c>
      <c r="J312" s="13"/>
      <c r="K312" s="12" t="s">
        <v>2317</v>
      </c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>
      <c r="A313" s="13"/>
      <c r="B313" s="13"/>
      <c r="C313" s="13"/>
      <c r="D313" s="13"/>
      <c r="E313" s="13"/>
      <c r="F313" s="13"/>
      <c r="G313" s="13"/>
      <c r="H313" s="13"/>
      <c r="I313" s="14" t="s">
        <v>2011</v>
      </c>
      <c r="J313" s="14" t="s">
        <v>2024</v>
      </c>
      <c r="K313" s="14" t="s">
        <v>2300</v>
      </c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>
      <c r="A314" s="13"/>
      <c r="B314" s="13"/>
      <c r="C314" s="13"/>
      <c r="D314" s="13"/>
      <c r="E314" s="13"/>
      <c r="F314" s="13"/>
      <c r="G314" s="13"/>
      <c r="H314" s="13"/>
      <c r="I314" s="14">
        <v>1</v>
      </c>
      <c r="J314" s="13" t="s">
        <v>717</v>
      </c>
      <c r="K314" s="12" t="s">
        <v>2344</v>
      </c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>
      <c r="A315" s="13"/>
      <c r="B315" s="13"/>
      <c r="C315" s="13"/>
      <c r="D315" s="13"/>
      <c r="E315" s="13"/>
      <c r="F315" s="13"/>
      <c r="G315" s="13"/>
      <c r="H315" s="13"/>
      <c r="I315" s="14">
        <v>2</v>
      </c>
      <c r="J315" s="13" t="s">
        <v>2259</v>
      </c>
      <c r="K315" s="12" t="s">
        <v>2370</v>
      </c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>
      <c r="A316" s="13"/>
      <c r="B316" s="13"/>
      <c r="C316" s="13"/>
      <c r="D316" s="13"/>
      <c r="E316" s="13"/>
      <c r="F316" s="13"/>
      <c r="G316" s="13"/>
      <c r="H316" s="13"/>
      <c r="I316" s="14"/>
      <c r="J316" s="13"/>
      <c r="K316" s="12" t="s">
        <v>2317</v>
      </c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>
      <c r="A317" s="13"/>
      <c r="B317" s="13"/>
      <c r="C317" s="13"/>
      <c r="D317" s="13"/>
      <c r="E317" s="13"/>
      <c r="F317" s="13"/>
      <c r="G317" s="13"/>
      <c r="H317" s="13"/>
      <c r="I317" s="13" t="s">
        <v>2084</v>
      </c>
      <c r="J317" s="13"/>
      <c r="K317" s="12" t="s">
        <v>2317</v>
      </c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>
      <c r="A318" s="13"/>
      <c r="B318" s="13"/>
      <c r="C318" s="13"/>
      <c r="D318" s="13"/>
      <c r="E318" s="13"/>
      <c r="F318" s="13"/>
      <c r="G318" s="13"/>
      <c r="H318" s="13"/>
      <c r="I318" s="14" t="s">
        <v>2011</v>
      </c>
      <c r="J318" s="14" t="s">
        <v>2024</v>
      </c>
      <c r="K318" s="14" t="s">
        <v>2300</v>
      </c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>
      <c r="A319" s="13"/>
      <c r="B319" s="13"/>
      <c r="C319" s="13"/>
      <c r="D319" s="13"/>
      <c r="E319" s="13"/>
      <c r="F319" s="13"/>
      <c r="G319" s="13"/>
      <c r="H319" s="13"/>
      <c r="I319" s="13">
        <v>1</v>
      </c>
      <c r="J319" s="13" t="s">
        <v>2261</v>
      </c>
      <c r="K319" s="12" t="s">
        <v>2344</v>
      </c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2" t="s">
        <v>2317</v>
      </c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2" t="s">
        <v>2317</v>
      </c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>
      <c r="A322" s="13"/>
      <c r="B322" s="13"/>
      <c r="C322" s="13"/>
      <c r="D322" s="13"/>
      <c r="E322" s="13"/>
      <c r="F322" s="13"/>
      <c r="G322" s="13"/>
      <c r="H322" s="13"/>
      <c r="I322" s="13" t="s">
        <v>2086</v>
      </c>
      <c r="J322" s="13"/>
      <c r="K322" s="12" t="s">
        <v>2317</v>
      </c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>
      <c r="A323" s="13"/>
      <c r="B323" s="13"/>
      <c r="C323" s="13"/>
      <c r="D323" s="13"/>
      <c r="E323" s="13"/>
      <c r="F323" s="13"/>
      <c r="G323" s="13"/>
      <c r="H323" s="13"/>
      <c r="I323" s="14" t="s">
        <v>2011</v>
      </c>
      <c r="J323" s="14" t="s">
        <v>2024</v>
      </c>
      <c r="K323" s="14" t="s">
        <v>2300</v>
      </c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>
      <c r="A324" s="13"/>
      <c r="B324" s="13"/>
      <c r="C324" s="13"/>
      <c r="D324" s="13"/>
      <c r="E324" s="13"/>
      <c r="F324" s="13"/>
      <c r="G324" s="13"/>
      <c r="H324" s="13"/>
      <c r="I324" s="14">
        <v>1</v>
      </c>
      <c r="J324" s="13" t="s">
        <v>656</v>
      </c>
      <c r="K324" s="12" t="s">
        <v>2344</v>
      </c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>
      <c r="A325" s="13"/>
      <c r="B325" s="13"/>
      <c r="C325" s="13"/>
      <c r="D325" s="13"/>
      <c r="E325" s="13"/>
      <c r="F325" s="13"/>
      <c r="G325" s="13"/>
      <c r="H325" s="13"/>
      <c r="I325" s="14">
        <v>2</v>
      </c>
      <c r="J325" s="13" t="s">
        <v>673</v>
      </c>
      <c r="K325" s="12" t="s">
        <v>2370</v>
      </c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>
      <c r="A326" s="13"/>
      <c r="B326" s="13"/>
      <c r="C326" s="13"/>
      <c r="D326" s="13"/>
      <c r="E326" s="13"/>
      <c r="F326" s="13"/>
      <c r="G326" s="13"/>
      <c r="H326" s="13"/>
      <c r="I326" s="14">
        <v>3</v>
      </c>
      <c r="J326" s="13" t="s">
        <v>658</v>
      </c>
      <c r="K326" s="12" t="s">
        <v>2322</v>
      </c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>
      <c r="A327" s="13"/>
      <c r="B327" s="13"/>
      <c r="C327" s="13"/>
      <c r="D327" s="13"/>
      <c r="E327" s="13"/>
      <c r="F327" s="13"/>
      <c r="G327" s="13"/>
      <c r="H327" s="13"/>
      <c r="I327" s="14">
        <v>4</v>
      </c>
      <c r="J327" s="13" t="s">
        <v>660</v>
      </c>
      <c r="K327" s="12" t="s">
        <v>2324</v>
      </c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>
      <c r="A328" s="13"/>
      <c r="B328" s="13"/>
      <c r="C328" s="13"/>
      <c r="D328" s="13"/>
      <c r="E328" s="13"/>
      <c r="F328" s="13"/>
      <c r="G328" s="13"/>
      <c r="H328" s="13"/>
      <c r="I328" s="14">
        <v>5</v>
      </c>
      <c r="J328" s="13" t="s">
        <v>2267</v>
      </c>
      <c r="K328" s="12" t="s">
        <v>2326</v>
      </c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2" t="s">
        <v>2317</v>
      </c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>
      <c r="A330" s="13"/>
      <c r="B330" s="13"/>
      <c r="C330" s="13"/>
      <c r="D330" s="13"/>
      <c r="E330" s="13"/>
      <c r="F330" s="13"/>
      <c r="G330" s="13"/>
      <c r="H330" s="13"/>
      <c r="I330" s="13" t="s">
        <v>721</v>
      </c>
      <c r="J330" s="13"/>
      <c r="K330" s="12" t="s">
        <v>2317</v>
      </c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>
      <c r="A331" s="13"/>
      <c r="B331" s="13"/>
      <c r="C331" s="13"/>
      <c r="D331" s="13"/>
      <c r="E331" s="13"/>
      <c r="F331" s="13"/>
      <c r="G331" s="13"/>
      <c r="H331" s="13"/>
      <c r="I331" s="14" t="s">
        <v>2011</v>
      </c>
      <c r="J331" s="14" t="s">
        <v>2024</v>
      </c>
      <c r="K331" s="14" t="s">
        <v>2300</v>
      </c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>
      <c r="A332" s="13"/>
      <c r="B332" s="13"/>
      <c r="C332" s="13"/>
      <c r="D332" s="13"/>
      <c r="E332" s="13"/>
      <c r="F332" s="13"/>
      <c r="G332" s="13"/>
      <c r="H332" s="13"/>
      <c r="I332" s="14">
        <v>1</v>
      </c>
      <c r="J332" s="13" t="s">
        <v>722</v>
      </c>
      <c r="K332" s="12" t="s">
        <v>2344</v>
      </c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>
      <c r="A333" s="13"/>
      <c r="B333" s="13"/>
      <c r="C333" s="13"/>
      <c r="D333" s="13"/>
      <c r="E333" s="13"/>
      <c r="F333" s="13"/>
      <c r="G333" s="13"/>
      <c r="H333" s="13"/>
      <c r="I333" s="14">
        <v>2</v>
      </c>
      <c r="J333" s="13" t="s">
        <v>724</v>
      </c>
      <c r="K333" s="12" t="s">
        <v>2370</v>
      </c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>
      <c r="A334" s="13"/>
      <c r="B334" s="13"/>
      <c r="C334" s="13"/>
      <c r="D334" s="13"/>
      <c r="E334" s="13"/>
      <c r="F334" s="13"/>
      <c r="G334" s="13"/>
      <c r="H334" s="13"/>
      <c r="I334" s="14">
        <v>3</v>
      </c>
      <c r="J334" s="13" t="s">
        <v>726</v>
      </c>
      <c r="K334" s="12" t="s">
        <v>2322</v>
      </c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>
      <c r="A335" s="13"/>
      <c r="B335" s="13"/>
      <c r="C335" s="13"/>
      <c r="D335" s="13"/>
      <c r="E335" s="13"/>
      <c r="F335" s="13"/>
      <c r="G335" s="13"/>
      <c r="H335" s="13"/>
      <c r="I335" s="14">
        <v>4</v>
      </c>
      <c r="J335" s="13" t="s">
        <v>728</v>
      </c>
      <c r="K335" s="12" t="s">
        <v>2324</v>
      </c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>
      <c r="A336" s="13"/>
      <c r="B336" s="13"/>
      <c r="C336" s="13"/>
      <c r="D336" s="13"/>
      <c r="E336" s="13"/>
      <c r="F336" s="13"/>
      <c r="G336" s="13"/>
      <c r="H336" s="13"/>
      <c r="I336" s="14">
        <v>5</v>
      </c>
      <c r="J336" s="13" t="s">
        <v>730</v>
      </c>
      <c r="K336" s="12" t="s">
        <v>2326</v>
      </c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>
      <c r="A337" s="13"/>
      <c r="B337" s="13"/>
      <c r="C337" s="13"/>
      <c r="D337" s="13"/>
      <c r="E337" s="13"/>
      <c r="F337" s="13"/>
      <c r="G337" s="13"/>
      <c r="H337" s="13"/>
      <c r="I337" s="14">
        <v>6</v>
      </c>
      <c r="J337" s="13" t="s">
        <v>732</v>
      </c>
      <c r="K337" s="12" t="s">
        <v>2328</v>
      </c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>
      <c r="A338" s="13"/>
      <c r="B338" s="13"/>
      <c r="C338" s="13"/>
      <c r="D338" s="13"/>
      <c r="E338" s="13"/>
      <c r="F338" s="13"/>
      <c r="G338" s="13"/>
      <c r="H338" s="13"/>
      <c r="I338" s="14">
        <v>7</v>
      </c>
      <c r="J338" s="13" t="s">
        <v>734</v>
      </c>
      <c r="K338" s="12" t="s">
        <v>2330</v>
      </c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>
      <c r="A339" s="13"/>
      <c r="B339" s="13"/>
      <c r="C339" s="13"/>
      <c r="D339" s="13"/>
      <c r="E339" s="13"/>
      <c r="F339" s="13"/>
      <c r="G339" s="13"/>
      <c r="H339" s="13"/>
      <c r="I339" s="14">
        <v>8</v>
      </c>
      <c r="J339" s="13" t="s">
        <v>2276</v>
      </c>
      <c r="K339" s="12" t="s">
        <v>2374</v>
      </c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37"/>
  <sheetViews>
    <sheetView workbookViewId="0">
      <pane ySplit="4" topLeftCell="A5" activePane="bottomLeft" state="frozen"/>
      <selection/>
      <selection pane="bottomLeft" activeCell="P6" sqref="P6"/>
    </sheetView>
  </sheetViews>
  <sheetFormatPr defaultColWidth="9" defaultRowHeight="15.6"/>
  <cols>
    <col min="1" max="1" width="9" style="4"/>
    <col min="2" max="2" width="8.44444444444444" style="4" customWidth="1"/>
    <col min="3" max="3" width="14.2222222222222" style="4" customWidth="1"/>
    <col min="4" max="4" width="24.2222222222222" style="4" customWidth="1"/>
    <col min="5" max="11" width="9" style="4"/>
    <col min="12" max="12" width="13.7777777777778" style="4" customWidth="1"/>
    <col min="13" max="16384" width="9" style="4"/>
  </cols>
  <sheetData>
    <row r="1" s="4" customFormat="1" ht="24.6" spans="5:12">
      <c r="E1" s="6" t="s">
        <v>2012</v>
      </c>
      <c r="F1" s="6"/>
      <c r="G1" s="6"/>
      <c r="H1" s="6"/>
      <c r="I1" s="6"/>
      <c r="J1" s="6"/>
      <c r="K1" s="6"/>
      <c r="L1" s="6"/>
    </row>
    <row r="2" ht="19.2" spans="2:12">
      <c r="B2" s="7">
        <v>4</v>
      </c>
      <c r="C2" s="7"/>
      <c r="D2" s="7"/>
      <c r="E2" s="8">
        <v>4</v>
      </c>
      <c r="F2" s="8">
        <v>5</v>
      </c>
      <c r="G2" s="8"/>
      <c r="H2" s="8"/>
      <c r="I2" s="8"/>
      <c r="J2" s="8"/>
      <c r="K2" s="8">
        <v>4</v>
      </c>
      <c r="L2" s="8"/>
    </row>
    <row r="3" ht="19.2" spans="2:12">
      <c r="B3" s="7">
        <v>1</v>
      </c>
      <c r="C3" s="7">
        <v>2</v>
      </c>
      <c r="D3" s="7">
        <v>3</v>
      </c>
      <c r="E3" s="4" t="s">
        <v>2515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2516</v>
      </c>
      <c r="L3" s="4">
        <v>4</v>
      </c>
    </row>
    <row r="4" spans="2:12">
      <c r="B4" s="4">
        <v>1</v>
      </c>
      <c r="C4" s="4">
        <v>3</v>
      </c>
      <c r="D4" s="4">
        <v>5</v>
      </c>
      <c r="F4" s="4" t="s">
        <v>7</v>
      </c>
      <c r="K4" s="4" t="s">
        <v>2517</v>
      </c>
      <c r="L4" s="4">
        <v>0</v>
      </c>
    </row>
    <row r="5" spans="1:5">
      <c r="A5" s="4">
        <v>1</v>
      </c>
      <c r="B5" s="9" t="s">
        <v>1</v>
      </c>
      <c r="C5" s="4" t="s">
        <v>3</v>
      </c>
      <c r="D5" s="5" t="s">
        <v>5</v>
      </c>
      <c r="E5" s="4" t="s">
        <v>2518</v>
      </c>
    </row>
    <row r="6" spans="1:5">
      <c r="A6" s="4">
        <v>2</v>
      </c>
      <c r="D6" s="5" t="s">
        <v>11</v>
      </c>
      <c r="E6" s="4" t="s">
        <v>2519</v>
      </c>
    </row>
    <row r="7" spans="1:5">
      <c r="A7" s="4">
        <v>3</v>
      </c>
      <c r="D7" s="5" t="s">
        <v>16</v>
      </c>
      <c r="E7" s="4" t="s">
        <v>2520</v>
      </c>
    </row>
    <row r="8" spans="1:5">
      <c r="A8" s="4">
        <v>4</v>
      </c>
      <c r="D8" s="5" t="s">
        <v>21</v>
      </c>
      <c r="E8" s="4" t="s">
        <v>2521</v>
      </c>
    </row>
    <row r="9" spans="1:5">
      <c r="A9" s="4">
        <v>5</v>
      </c>
      <c r="D9" s="5" t="s">
        <v>26</v>
      </c>
      <c r="E9" s="4" t="s">
        <v>2522</v>
      </c>
    </row>
    <row r="10" spans="1:5">
      <c r="A10" s="4">
        <v>6</v>
      </c>
      <c r="D10" s="5" t="s">
        <v>139</v>
      </c>
      <c r="E10" s="4" t="s">
        <v>2523</v>
      </c>
    </row>
    <row r="11" spans="1:5">
      <c r="A11" s="4">
        <v>7</v>
      </c>
      <c r="C11" s="4" t="s">
        <v>31</v>
      </c>
      <c r="D11" s="5" t="s">
        <v>33</v>
      </c>
      <c r="E11" s="4" t="s">
        <v>2524</v>
      </c>
    </row>
    <row r="12" spans="1:5">
      <c r="A12" s="4">
        <v>8</v>
      </c>
      <c r="D12" s="5" t="s">
        <v>38</v>
      </c>
      <c r="E12" s="4" t="s">
        <v>2525</v>
      </c>
    </row>
    <row r="13" spans="1:5">
      <c r="A13" s="4">
        <v>9</v>
      </c>
      <c r="C13" s="4" t="s">
        <v>41</v>
      </c>
      <c r="D13" s="5" t="s">
        <v>43</v>
      </c>
      <c r="E13" s="4" t="s">
        <v>2526</v>
      </c>
    </row>
    <row r="14" spans="1:5">
      <c r="A14" s="4">
        <v>10</v>
      </c>
      <c r="D14" s="5" t="s">
        <v>47</v>
      </c>
      <c r="E14" s="4" t="s">
        <v>2527</v>
      </c>
    </row>
    <row r="15" spans="1:5">
      <c r="A15" s="4">
        <v>11</v>
      </c>
      <c r="D15" s="5" t="s">
        <v>51</v>
      </c>
      <c r="E15" s="4" t="s">
        <v>2528</v>
      </c>
    </row>
    <row r="16" spans="1:5">
      <c r="A16" s="4">
        <v>12</v>
      </c>
      <c r="D16" s="5" t="s">
        <v>54</v>
      </c>
      <c r="E16" s="4" t="s">
        <v>2529</v>
      </c>
    </row>
    <row r="17" spans="1:5">
      <c r="A17" s="4">
        <v>13</v>
      </c>
      <c r="D17" s="5" t="s">
        <v>58</v>
      </c>
      <c r="E17" s="4" t="s">
        <v>2530</v>
      </c>
    </row>
    <row r="18" spans="1:5">
      <c r="A18" s="4">
        <v>14</v>
      </c>
      <c r="D18" s="5" t="s">
        <v>61</v>
      </c>
      <c r="E18" s="4" t="s">
        <v>2531</v>
      </c>
    </row>
    <row r="19" spans="1:5">
      <c r="A19" s="4">
        <v>15</v>
      </c>
      <c r="D19" s="5" t="s">
        <v>65</v>
      </c>
      <c r="E19" s="4" t="s">
        <v>2532</v>
      </c>
    </row>
    <row r="20" spans="1:5">
      <c r="A20" s="4">
        <v>16</v>
      </c>
      <c r="D20" s="5" t="s">
        <v>69</v>
      </c>
      <c r="E20" s="4" t="s">
        <v>2533</v>
      </c>
    </row>
    <row r="21" spans="1:5">
      <c r="A21" s="4">
        <v>17</v>
      </c>
      <c r="D21" s="5" t="s">
        <v>73</v>
      </c>
      <c r="E21" s="4" t="s">
        <v>2534</v>
      </c>
    </row>
    <row r="22" spans="1:5">
      <c r="A22" s="4">
        <v>18</v>
      </c>
      <c r="D22" s="5" t="s">
        <v>77</v>
      </c>
      <c r="E22" s="4" t="s">
        <v>2535</v>
      </c>
    </row>
    <row r="23" spans="1:5">
      <c r="A23" s="4">
        <v>19</v>
      </c>
      <c r="D23" s="5" t="s">
        <v>159</v>
      </c>
      <c r="E23" s="4" t="s">
        <v>2536</v>
      </c>
    </row>
    <row r="24" spans="1:5">
      <c r="A24" s="4">
        <v>20</v>
      </c>
      <c r="D24" s="5" t="s">
        <v>161</v>
      </c>
      <c r="E24" s="4" t="s">
        <v>2537</v>
      </c>
    </row>
    <row r="25" spans="1:5">
      <c r="A25" s="4">
        <v>21</v>
      </c>
      <c r="C25" s="4" t="s">
        <v>28</v>
      </c>
      <c r="D25" s="5" t="s">
        <v>2345</v>
      </c>
      <c r="E25" s="4" t="s">
        <v>2538</v>
      </c>
    </row>
    <row r="26" spans="1:5">
      <c r="A26" s="4">
        <v>22</v>
      </c>
      <c r="D26" s="5" t="s">
        <v>2346</v>
      </c>
      <c r="E26" s="4" t="s">
        <v>2539</v>
      </c>
    </row>
    <row r="27" spans="1:5">
      <c r="A27" s="4">
        <v>23</v>
      </c>
      <c r="D27" s="5" t="s">
        <v>2347</v>
      </c>
      <c r="E27" s="4" t="s">
        <v>2540</v>
      </c>
    </row>
    <row r="28" spans="1:5">
      <c r="A28" s="4">
        <v>24</v>
      </c>
      <c r="D28" s="5" t="s">
        <v>2349</v>
      </c>
      <c r="E28" s="4" t="s">
        <v>2541</v>
      </c>
    </row>
    <row r="29" spans="1:5">
      <c r="A29" s="4">
        <v>25</v>
      </c>
      <c r="D29" s="5" t="s">
        <v>95</v>
      </c>
      <c r="E29" s="4" t="s">
        <v>2542</v>
      </c>
    </row>
    <row r="30" spans="1:5">
      <c r="A30" s="4">
        <v>26</v>
      </c>
      <c r="C30" s="4" t="s">
        <v>35</v>
      </c>
      <c r="D30" s="5" t="s">
        <v>2345</v>
      </c>
      <c r="E30" s="4" t="s">
        <v>2543</v>
      </c>
    </row>
    <row r="31" spans="1:5">
      <c r="A31" s="4">
        <v>27</v>
      </c>
      <c r="D31" s="5" t="s">
        <v>2346</v>
      </c>
      <c r="E31" s="4" t="s">
        <v>2544</v>
      </c>
    </row>
    <row r="32" spans="1:5">
      <c r="A32" s="4">
        <v>28</v>
      </c>
      <c r="D32" s="5" t="s">
        <v>2347</v>
      </c>
      <c r="E32" s="4" t="s">
        <v>2545</v>
      </c>
    </row>
    <row r="33" spans="1:5">
      <c r="A33" s="4">
        <v>29</v>
      </c>
      <c r="D33" s="5" t="s">
        <v>2349</v>
      </c>
      <c r="E33" s="4" t="s">
        <v>2546</v>
      </c>
    </row>
    <row r="34" spans="1:5">
      <c r="A34" s="4">
        <v>30</v>
      </c>
      <c r="D34" s="5" t="s">
        <v>95</v>
      </c>
      <c r="E34" s="4" t="s">
        <v>2547</v>
      </c>
    </row>
    <row r="35" spans="1:5">
      <c r="A35" s="4">
        <v>31</v>
      </c>
      <c r="C35" s="4" t="s">
        <v>95</v>
      </c>
      <c r="D35" s="5" t="s">
        <v>96</v>
      </c>
      <c r="E35" s="4" t="s">
        <v>2548</v>
      </c>
    </row>
    <row r="36" spans="1:5">
      <c r="A36" s="4">
        <v>32</v>
      </c>
      <c r="D36" s="5" t="s">
        <v>100</v>
      </c>
      <c r="E36" s="4" t="s">
        <v>2549</v>
      </c>
    </row>
    <row r="37" spans="1:5">
      <c r="A37" s="4">
        <v>33</v>
      </c>
      <c r="D37" s="5" t="s">
        <v>23</v>
      </c>
      <c r="E37" s="4" t="s">
        <v>2550</v>
      </c>
    </row>
  </sheetData>
  <autoFilter ref="A4:D37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L149"/>
  <sheetViews>
    <sheetView workbookViewId="0">
      <pane ySplit="4" topLeftCell="A5" activePane="bottomLeft" state="frozen"/>
      <selection/>
      <selection pane="bottomLeft" activeCell="I22" sqref="I22"/>
    </sheetView>
  </sheetViews>
  <sheetFormatPr defaultColWidth="9" defaultRowHeight="15.6"/>
  <cols>
    <col min="1" max="1" width="9" style="4"/>
    <col min="2" max="2" width="8.44444444444444" style="4" customWidth="1"/>
    <col min="3" max="3" width="14.2222222222222" style="4" customWidth="1"/>
    <col min="4" max="4" width="24.2222222222222" style="4" customWidth="1"/>
    <col min="5" max="11" width="9" style="4"/>
    <col min="12" max="12" width="13.7777777777778" style="4" customWidth="1"/>
    <col min="13" max="16384" width="9" style="4"/>
  </cols>
  <sheetData>
    <row r="1" s="4" customFormat="1" ht="24.6" spans="5:12">
      <c r="E1" s="6" t="s">
        <v>2012</v>
      </c>
      <c r="F1" s="6"/>
      <c r="G1" s="6"/>
      <c r="H1" s="6"/>
      <c r="I1" s="6"/>
      <c r="J1" s="6"/>
      <c r="K1" s="6"/>
      <c r="L1" s="6"/>
    </row>
    <row r="2" ht="19.2" spans="2:12">
      <c r="B2" s="7">
        <v>4</v>
      </c>
      <c r="C2" s="7"/>
      <c r="D2" s="7"/>
      <c r="E2" s="8">
        <v>4</v>
      </c>
      <c r="F2" s="8">
        <v>5</v>
      </c>
      <c r="G2" s="8"/>
      <c r="H2" s="8"/>
      <c r="I2" s="8"/>
      <c r="J2" s="8"/>
      <c r="K2" s="8">
        <v>4</v>
      </c>
      <c r="L2" s="8"/>
    </row>
    <row r="3" ht="19.2" spans="2:12">
      <c r="B3" s="7">
        <v>1</v>
      </c>
      <c r="C3" s="7">
        <v>2</v>
      </c>
      <c r="D3" s="7">
        <v>3</v>
      </c>
      <c r="E3" s="4" t="s">
        <v>2515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2516</v>
      </c>
      <c r="L3" s="4">
        <v>4</v>
      </c>
    </row>
    <row r="4" spans="2:12">
      <c r="B4" s="4">
        <v>1</v>
      </c>
      <c r="C4" s="4">
        <v>3</v>
      </c>
      <c r="D4" s="4">
        <v>5</v>
      </c>
      <c r="F4" s="4" t="s">
        <v>7</v>
      </c>
      <c r="K4" s="10" t="s">
        <v>2551</v>
      </c>
      <c r="L4" s="4" t="s">
        <v>2552</v>
      </c>
    </row>
    <row r="5" spans="1:5">
      <c r="A5" s="4">
        <v>1</v>
      </c>
      <c r="B5" s="9" t="s">
        <v>107</v>
      </c>
      <c r="C5" s="5" t="s">
        <v>108</v>
      </c>
      <c r="D5" s="5" t="s">
        <v>2099</v>
      </c>
      <c r="E5" s="4" t="s">
        <v>2553</v>
      </c>
    </row>
    <row r="6" spans="1:5">
      <c r="A6" s="4">
        <v>2</v>
      </c>
      <c r="B6" s="9"/>
      <c r="C6" s="5"/>
      <c r="D6" s="5" t="s">
        <v>187</v>
      </c>
      <c r="E6" s="4" t="s">
        <v>2554</v>
      </c>
    </row>
    <row r="7" spans="1:5">
      <c r="A7" s="4">
        <v>3</v>
      </c>
      <c r="B7" s="9"/>
      <c r="C7" s="5"/>
      <c r="D7" s="5" t="s">
        <v>189</v>
      </c>
      <c r="E7" s="4" t="s">
        <v>2555</v>
      </c>
    </row>
    <row r="8" spans="1:5">
      <c r="A8" s="4">
        <v>4</v>
      </c>
      <c r="B8" s="9"/>
      <c r="C8" s="5"/>
      <c r="D8" s="5" t="s">
        <v>191</v>
      </c>
      <c r="E8" s="4" t="s">
        <v>2556</v>
      </c>
    </row>
    <row r="9" spans="1:5">
      <c r="A9" s="4">
        <v>5</v>
      </c>
      <c r="B9" s="9"/>
      <c r="C9" s="5"/>
      <c r="D9" s="5" t="s">
        <v>2100</v>
      </c>
      <c r="E9" s="4" t="s">
        <v>2557</v>
      </c>
    </row>
    <row r="10" spans="1:5">
      <c r="A10" s="4">
        <v>6</v>
      </c>
      <c r="B10" s="9"/>
      <c r="C10" s="5"/>
      <c r="D10" s="5" t="s">
        <v>193</v>
      </c>
      <c r="E10" s="4" t="s">
        <v>2558</v>
      </c>
    </row>
    <row r="11" spans="1:5">
      <c r="A11" s="4">
        <v>7</v>
      </c>
      <c r="B11" s="9"/>
      <c r="C11" s="5"/>
      <c r="D11" s="5" t="s">
        <v>195</v>
      </c>
      <c r="E11" s="4" t="s">
        <v>2559</v>
      </c>
    </row>
    <row r="12" spans="1:5">
      <c r="A12" s="4">
        <v>8</v>
      </c>
      <c r="B12" s="9"/>
      <c r="C12" s="5"/>
      <c r="D12" s="5" t="s">
        <v>197</v>
      </c>
      <c r="E12" s="4" t="s">
        <v>2560</v>
      </c>
    </row>
    <row r="13" spans="1:5">
      <c r="A13" s="4">
        <v>9</v>
      </c>
      <c r="B13" s="9"/>
      <c r="C13" s="5"/>
      <c r="D13" s="5" t="s">
        <v>199</v>
      </c>
      <c r="E13" s="4" t="s">
        <v>2561</v>
      </c>
    </row>
    <row r="14" spans="1:5">
      <c r="A14" s="4">
        <v>10</v>
      </c>
      <c r="B14" s="9"/>
      <c r="C14" s="5"/>
      <c r="D14" s="5" t="s">
        <v>201</v>
      </c>
      <c r="E14" s="4" t="s">
        <v>2562</v>
      </c>
    </row>
    <row r="15" spans="1:5">
      <c r="A15" s="4">
        <v>11</v>
      </c>
      <c r="B15" s="9"/>
      <c r="C15" s="5"/>
      <c r="D15" s="5" t="s">
        <v>203</v>
      </c>
      <c r="E15" s="4" t="s">
        <v>2563</v>
      </c>
    </row>
    <row r="16" spans="1:5">
      <c r="A16" s="4">
        <v>12</v>
      </c>
      <c r="B16" s="9"/>
      <c r="C16" s="5"/>
      <c r="D16" s="5" t="s">
        <v>205</v>
      </c>
      <c r="E16" s="4" t="s">
        <v>2564</v>
      </c>
    </row>
    <row r="17" spans="1:5">
      <c r="A17" s="4">
        <v>13</v>
      </c>
      <c r="B17" s="9"/>
      <c r="C17" s="5"/>
      <c r="D17" s="5" t="s">
        <v>2101</v>
      </c>
      <c r="E17" s="4" t="s">
        <v>2565</v>
      </c>
    </row>
    <row r="18" spans="1:5">
      <c r="A18" s="4">
        <v>14</v>
      </c>
      <c r="B18" s="9"/>
      <c r="C18" s="5"/>
      <c r="D18" s="5" t="s">
        <v>209</v>
      </c>
      <c r="E18" s="4" t="s">
        <v>2566</v>
      </c>
    </row>
    <row r="19" spans="1:5">
      <c r="A19" s="4">
        <v>15</v>
      </c>
      <c r="B19" s="9"/>
      <c r="C19" s="5"/>
      <c r="D19" s="5" t="s">
        <v>2102</v>
      </c>
      <c r="E19" s="4" t="s">
        <v>2567</v>
      </c>
    </row>
    <row r="20" spans="1:5">
      <c r="A20" s="4">
        <v>16</v>
      </c>
      <c r="B20" s="9"/>
      <c r="C20" s="5"/>
      <c r="D20" s="5" t="s">
        <v>213</v>
      </c>
      <c r="E20" s="4" t="s">
        <v>2568</v>
      </c>
    </row>
    <row r="21" spans="1:5">
      <c r="A21" s="4">
        <v>17</v>
      </c>
      <c r="B21" s="9"/>
      <c r="C21" s="5"/>
      <c r="D21" s="5" t="s">
        <v>215</v>
      </c>
      <c r="E21" s="4" t="s">
        <v>2569</v>
      </c>
    </row>
    <row r="22" spans="1:5">
      <c r="A22" s="4">
        <v>18</v>
      </c>
      <c r="B22" s="9"/>
      <c r="C22" s="5"/>
      <c r="D22" s="5" t="s">
        <v>335</v>
      </c>
      <c r="E22" s="4" t="s">
        <v>2570</v>
      </c>
    </row>
    <row r="23" spans="1:5">
      <c r="A23" s="4">
        <v>19</v>
      </c>
      <c r="B23" s="9"/>
      <c r="C23" s="5"/>
      <c r="D23" s="5" t="s">
        <v>217</v>
      </c>
      <c r="E23" s="4" t="s">
        <v>2571</v>
      </c>
    </row>
    <row r="24" spans="1:5">
      <c r="A24" s="4">
        <v>20</v>
      </c>
      <c r="B24" s="9"/>
      <c r="C24" s="5"/>
      <c r="D24" s="5" t="s">
        <v>219</v>
      </c>
      <c r="E24" s="4" t="s">
        <v>2572</v>
      </c>
    </row>
    <row r="25" spans="1:5">
      <c r="A25" s="4">
        <v>21</v>
      </c>
      <c r="B25" s="9"/>
      <c r="C25" s="5"/>
      <c r="D25" s="5" t="s">
        <v>2103</v>
      </c>
      <c r="E25" s="4" t="s">
        <v>2573</v>
      </c>
    </row>
    <row r="26" spans="1:5">
      <c r="A26" s="4">
        <v>22</v>
      </c>
      <c r="B26" s="9"/>
      <c r="C26" s="5"/>
      <c r="D26" s="5" t="s">
        <v>223</v>
      </c>
      <c r="E26" s="4" t="s">
        <v>2574</v>
      </c>
    </row>
    <row r="27" spans="1:5">
      <c r="A27" s="4">
        <v>23</v>
      </c>
      <c r="B27" s="9"/>
      <c r="C27" s="5"/>
      <c r="D27" s="5" t="s">
        <v>225</v>
      </c>
      <c r="E27" s="4" t="s">
        <v>2575</v>
      </c>
    </row>
    <row r="28" spans="1:5">
      <c r="A28" s="4">
        <v>24</v>
      </c>
      <c r="B28" s="9"/>
      <c r="C28" s="5"/>
      <c r="D28" s="5" t="s">
        <v>227</v>
      </c>
      <c r="E28" s="4" t="s">
        <v>2576</v>
      </c>
    </row>
    <row r="29" spans="1:5">
      <c r="A29" s="4">
        <v>25</v>
      </c>
      <c r="B29" s="9"/>
      <c r="C29" s="5"/>
      <c r="D29" s="5" t="s">
        <v>229</v>
      </c>
      <c r="E29" s="4" t="s">
        <v>2577</v>
      </c>
    </row>
    <row r="30" spans="1:5">
      <c r="A30" s="4">
        <v>26</v>
      </c>
      <c r="B30" s="9"/>
      <c r="C30" s="5"/>
      <c r="D30" s="5" t="s">
        <v>231</v>
      </c>
      <c r="E30" s="4" t="s">
        <v>2578</v>
      </c>
    </row>
    <row r="31" spans="1:5">
      <c r="A31" s="4">
        <v>27</v>
      </c>
      <c r="B31" s="9"/>
      <c r="C31" s="5"/>
      <c r="D31" s="5" t="s">
        <v>235</v>
      </c>
      <c r="E31" s="4" t="s">
        <v>2579</v>
      </c>
    </row>
    <row r="32" spans="1:5">
      <c r="A32" s="4">
        <v>28</v>
      </c>
      <c r="C32" s="5" t="s">
        <v>113</v>
      </c>
      <c r="D32" s="5" t="s">
        <v>2106</v>
      </c>
      <c r="E32" s="4" t="s">
        <v>2580</v>
      </c>
    </row>
    <row r="33" spans="1:5">
      <c r="A33" s="4">
        <v>29</v>
      </c>
      <c r="B33" s="9"/>
      <c r="C33" s="5"/>
      <c r="D33" s="5" t="s">
        <v>421</v>
      </c>
      <c r="E33" s="4" t="s">
        <v>2581</v>
      </c>
    </row>
    <row r="34" spans="1:5">
      <c r="A34" s="4">
        <v>30</v>
      </c>
      <c r="B34" s="9"/>
      <c r="C34" s="5"/>
      <c r="D34" s="5" t="s">
        <v>239</v>
      </c>
      <c r="E34" s="4" t="s">
        <v>2582</v>
      </c>
    </row>
    <row r="35" spans="1:5">
      <c r="A35" s="4">
        <v>31</v>
      </c>
      <c r="B35" s="9"/>
      <c r="C35" s="5"/>
      <c r="D35" s="5" t="s">
        <v>393</v>
      </c>
      <c r="E35" s="4" t="s">
        <v>2583</v>
      </c>
    </row>
    <row r="36" spans="1:5">
      <c r="A36" s="4">
        <v>32</v>
      </c>
      <c r="B36" s="9"/>
      <c r="C36" s="5"/>
      <c r="D36" s="5" t="s">
        <v>2107</v>
      </c>
      <c r="E36" s="4" t="s">
        <v>2584</v>
      </c>
    </row>
    <row r="37" spans="1:5">
      <c r="A37" s="4">
        <v>33</v>
      </c>
      <c r="B37" s="9"/>
      <c r="C37" s="5"/>
      <c r="D37" s="5" t="s">
        <v>243</v>
      </c>
      <c r="E37" s="4" t="s">
        <v>2585</v>
      </c>
    </row>
    <row r="38" spans="1:5">
      <c r="A38" s="4">
        <v>34</v>
      </c>
      <c r="B38" s="9"/>
      <c r="C38" s="5"/>
      <c r="D38" s="5" t="s">
        <v>245</v>
      </c>
      <c r="E38" s="4" t="s">
        <v>2586</v>
      </c>
    </row>
    <row r="39" spans="1:5">
      <c r="A39" s="4">
        <v>35</v>
      </c>
      <c r="B39" s="9"/>
      <c r="C39" s="5"/>
      <c r="D39" s="5" t="s">
        <v>247</v>
      </c>
      <c r="E39" s="4" t="s">
        <v>2587</v>
      </c>
    </row>
    <row r="40" spans="1:5">
      <c r="A40" s="4">
        <v>36</v>
      </c>
      <c r="B40" s="9"/>
      <c r="C40" s="5"/>
      <c r="D40" s="5" t="s">
        <v>249</v>
      </c>
      <c r="E40" s="4" t="s">
        <v>2588</v>
      </c>
    </row>
    <row r="41" spans="1:5">
      <c r="A41" s="4">
        <v>37</v>
      </c>
      <c r="B41" s="9"/>
      <c r="C41" s="5"/>
      <c r="D41" s="5" t="s">
        <v>251</v>
      </c>
      <c r="E41" s="4" t="s">
        <v>2589</v>
      </c>
    </row>
    <row r="42" spans="1:5">
      <c r="A42" s="4">
        <v>38</v>
      </c>
      <c r="B42" s="9"/>
      <c r="C42" s="5"/>
      <c r="D42" s="5" t="s">
        <v>2108</v>
      </c>
      <c r="E42" s="4" t="s">
        <v>2590</v>
      </c>
    </row>
    <row r="43" spans="1:5">
      <c r="A43" s="4">
        <v>39</v>
      </c>
      <c r="B43" s="9"/>
      <c r="C43" s="5"/>
      <c r="D43" s="5" t="s">
        <v>2109</v>
      </c>
      <c r="E43" s="4" t="s">
        <v>2591</v>
      </c>
    </row>
    <row r="44" spans="1:5">
      <c r="A44" s="4">
        <v>40</v>
      </c>
      <c r="B44" s="9"/>
      <c r="C44" s="5"/>
      <c r="D44" s="5" t="s">
        <v>253</v>
      </c>
      <c r="E44" s="4" t="s">
        <v>2592</v>
      </c>
    </row>
    <row r="45" spans="1:5">
      <c r="A45" s="4">
        <v>41</v>
      </c>
      <c r="B45" s="9"/>
      <c r="C45" s="5"/>
      <c r="D45" s="5" t="s">
        <v>2110</v>
      </c>
      <c r="E45" s="4" t="s">
        <v>2593</v>
      </c>
    </row>
    <row r="46" spans="1:5">
      <c r="A46" s="4">
        <v>42</v>
      </c>
      <c r="B46" s="9"/>
      <c r="C46" s="5"/>
      <c r="D46" s="5" t="s">
        <v>233</v>
      </c>
      <c r="E46" s="4" t="s">
        <v>2594</v>
      </c>
    </row>
    <row r="47" spans="1:5">
      <c r="A47" s="4">
        <v>43</v>
      </c>
      <c r="B47" s="9"/>
      <c r="C47" s="5"/>
      <c r="D47" s="5" t="s">
        <v>2111</v>
      </c>
      <c r="E47" s="4" t="s">
        <v>2595</v>
      </c>
    </row>
    <row r="48" spans="1:5">
      <c r="A48" s="4">
        <v>44</v>
      </c>
      <c r="B48" s="9"/>
      <c r="C48" s="5"/>
      <c r="D48" s="5" t="s">
        <v>255</v>
      </c>
      <c r="E48" s="4" t="s">
        <v>2596</v>
      </c>
    </row>
    <row r="49" spans="1:5">
      <c r="A49" s="4">
        <v>45</v>
      </c>
      <c r="B49" s="9"/>
      <c r="C49" s="5"/>
      <c r="D49" s="5" t="s">
        <v>257</v>
      </c>
      <c r="E49" s="4" t="s">
        <v>2597</v>
      </c>
    </row>
    <row r="50" spans="1:5">
      <c r="A50" s="4">
        <v>46</v>
      </c>
      <c r="B50" s="9"/>
      <c r="C50" s="5"/>
      <c r="D50" s="5" t="s">
        <v>259</v>
      </c>
      <c r="E50" s="4" t="s">
        <v>2598</v>
      </c>
    </row>
    <row r="51" spans="1:5">
      <c r="A51" s="4">
        <v>47</v>
      </c>
      <c r="B51" s="9"/>
      <c r="C51" s="5"/>
      <c r="D51" s="5" t="s">
        <v>2112</v>
      </c>
      <c r="E51" s="4" t="s">
        <v>2599</v>
      </c>
    </row>
    <row r="52" spans="1:5">
      <c r="A52" s="4">
        <v>48</v>
      </c>
      <c r="B52" s="9"/>
      <c r="C52" s="5"/>
      <c r="D52" s="5" t="s">
        <v>2113</v>
      </c>
      <c r="E52" s="4" t="s">
        <v>2600</v>
      </c>
    </row>
    <row r="53" spans="1:5">
      <c r="A53" s="4">
        <v>49</v>
      </c>
      <c r="C53" s="5" t="s">
        <v>115</v>
      </c>
      <c r="D53" s="4" t="s">
        <v>261</v>
      </c>
      <c r="E53" s="4" t="s">
        <v>2601</v>
      </c>
    </row>
    <row r="54" spans="1:5">
      <c r="A54" s="4">
        <v>50</v>
      </c>
      <c r="C54" s="5" t="s">
        <v>117</v>
      </c>
      <c r="D54" s="5" t="s">
        <v>269</v>
      </c>
      <c r="E54" s="4" t="s">
        <v>2602</v>
      </c>
    </row>
    <row r="55" spans="1:5">
      <c r="A55" s="4">
        <v>51</v>
      </c>
      <c r="C55" s="5"/>
      <c r="D55" s="5" t="s">
        <v>271</v>
      </c>
      <c r="E55" s="4" t="s">
        <v>2603</v>
      </c>
    </row>
    <row r="56" spans="1:5">
      <c r="A56" s="4">
        <v>52</v>
      </c>
      <c r="C56" s="5"/>
      <c r="D56" s="5" t="s">
        <v>2116</v>
      </c>
      <c r="E56" s="4" t="s">
        <v>2604</v>
      </c>
    </row>
    <row r="57" spans="1:5">
      <c r="A57" s="4">
        <v>53</v>
      </c>
      <c r="C57" s="5"/>
      <c r="D57" s="5" t="s">
        <v>275</v>
      </c>
      <c r="E57" s="4" t="s">
        <v>2605</v>
      </c>
    </row>
    <row r="58" spans="1:5">
      <c r="A58" s="4">
        <v>54</v>
      </c>
      <c r="C58" s="5"/>
      <c r="D58" s="5" t="s">
        <v>2117</v>
      </c>
      <c r="E58" s="4" t="s">
        <v>2606</v>
      </c>
    </row>
    <row r="59" spans="1:5">
      <c r="A59" s="4">
        <v>55</v>
      </c>
      <c r="C59" s="5"/>
      <c r="D59" s="5" t="s">
        <v>2118</v>
      </c>
      <c r="E59" s="4" t="s">
        <v>2607</v>
      </c>
    </row>
    <row r="60" spans="1:5">
      <c r="A60" s="4">
        <v>56</v>
      </c>
      <c r="C60" s="5"/>
      <c r="D60" s="5" t="s">
        <v>279</v>
      </c>
      <c r="E60" s="4" t="s">
        <v>2608</v>
      </c>
    </row>
    <row r="61" spans="1:5">
      <c r="A61" s="4">
        <v>57</v>
      </c>
      <c r="C61" s="5"/>
      <c r="D61" s="5" t="s">
        <v>281</v>
      </c>
      <c r="E61" s="4" t="s">
        <v>2609</v>
      </c>
    </row>
    <row r="62" spans="1:5">
      <c r="A62" s="4">
        <v>58</v>
      </c>
      <c r="C62" s="5"/>
      <c r="D62" s="5" t="s">
        <v>283</v>
      </c>
      <c r="E62" s="4" t="s">
        <v>2610</v>
      </c>
    </row>
    <row r="63" spans="1:5">
      <c r="A63" s="4">
        <v>59</v>
      </c>
      <c r="C63" s="5"/>
      <c r="D63" s="5" t="s">
        <v>2119</v>
      </c>
      <c r="E63" s="4" t="s">
        <v>2611</v>
      </c>
    </row>
    <row r="64" spans="1:5">
      <c r="A64" s="4">
        <v>60</v>
      </c>
      <c r="C64" s="5"/>
      <c r="D64" s="5" t="s">
        <v>287</v>
      </c>
      <c r="E64" s="4" t="s">
        <v>2612</v>
      </c>
    </row>
    <row r="65" spans="1:5">
      <c r="A65" s="4">
        <v>61</v>
      </c>
      <c r="C65" s="5"/>
      <c r="D65" s="5" t="s">
        <v>289</v>
      </c>
      <c r="E65" s="4" t="s">
        <v>2613</v>
      </c>
    </row>
    <row r="66" spans="1:5">
      <c r="A66" s="4">
        <v>62</v>
      </c>
      <c r="C66" s="5"/>
      <c r="D66" s="5" t="s">
        <v>291</v>
      </c>
      <c r="E66" s="4" t="s">
        <v>2614</v>
      </c>
    </row>
    <row r="67" spans="1:5">
      <c r="A67" s="4">
        <v>63</v>
      </c>
      <c r="C67" s="5"/>
      <c r="D67" s="5" t="s">
        <v>293</v>
      </c>
      <c r="E67" s="4" t="s">
        <v>2615</v>
      </c>
    </row>
    <row r="68" spans="1:5">
      <c r="A68" s="4">
        <v>64</v>
      </c>
      <c r="C68" s="5"/>
      <c r="D68" s="5" t="s">
        <v>295</v>
      </c>
      <c r="E68" s="4" t="s">
        <v>2616</v>
      </c>
    </row>
    <row r="69" spans="1:5">
      <c r="A69" s="4">
        <v>65</v>
      </c>
      <c r="C69" s="5"/>
      <c r="D69" s="5" t="s">
        <v>2120</v>
      </c>
      <c r="E69" s="4" t="s">
        <v>2617</v>
      </c>
    </row>
    <row r="70" spans="1:5">
      <c r="A70" s="4">
        <v>66</v>
      </c>
      <c r="C70" s="5"/>
      <c r="D70" s="5" t="s">
        <v>297</v>
      </c>
      <c r="E70" s="4" t="s">
        <v>2618</v>
      </c>
    </row>
    <row r="71" spans="1:5">
      <c r="A71" s="4">
        <v>67</v>
      </c>
      <c r="C71" s="5"/>
      <c r="D71" s="5" t="s">
        <v>299</v>
      </c>
      <c r="E71" s="4" t="s">
        <v>2619</v>
      </c>
    </row>
    <row r="72" spans="1:5">
      <c r="A72" s="4">
        <v>68</v>
      </c>
      <c r="C72" s="5"/>
      <c r="D72" s="5" t="s">
        <v>301</v>
      </c>
      <c r="E72" s="4" t="s">
        <v>2620</v>
      </c>
    </row>
    <row r="73" spans="1:5">
      <c r="A73" s="4">
        <v>69</v>
      </c>
      <c r="C73" s="5"/>
      <c r="D73" s="5" t="s">
        <v>2121</v>
      </c>
      <c r="E73" s="4" t="s">
        <v>2621</v>
      </c>
    </row>
    <row r="74" spans="1:5">
      <c r="A74" s="4">
        <v>70</v>
      </c>
      <c r="B74" s="9"/>
      <c r="C74" s="5"/>
      <c r="D74" s="5" t="s">
        <v>303</v>
      </c>
      <c r="E74" s="4" t="s">
        <v>2622</v>
      </c>
    </row>
    <row r="75" spans="1:5">
      <c r="A75" s="4">
        <v>71</v>
      </c>
      <c r="B75" s="9"/>
      <c r="C75" s="5"/>
      <c r="D75" s="5" t="s">
        <v>305</v>
      </c>
      <c r="E75" s="4" t="s">
        <v>2623</v>
      </c>
    </row>
    <row r="76" spans="1:5">
      <c r="A76" s="4">
        <v>72</v>
      </c>
      <c r="B76" s="9"/>
      <c r="C76" s="5"/>
      <c r="D76" s="5" t="s">
        <v>2122</v>
      </c>
      <c r="E76" s="4" t="s">
        <v>2624</v>
      </c>
    </row>
    <row r="77" spans="1:5">
      <c r="A77" s="4">
        <v>73</v>
      </c>
      <c r="B77" s="9"/>
      <c r="C77" s="5"/>
      <c r="D77" s="5" t="s">
        <v>2123</v>
      </c>
      <c r="E77" s="4" t="s">
        <v>2625</v>
      </c>
    </row>
    <row r="78" spans="1:5">
      <c r="A78" s="4">
        <v>74</v>
      </c>
      <c r="B78" s="9"/>
      <c r="C78" s="5"/>
      <c r="D78" s="5" t="s">
        <v>309</v>
      </c>
      <c r="E78" s="4" t="s">
        <v>2626</v>
      </c>
    </row>
    <row r="79" spans="1:5">
      <c r="A79" s="4">
        <v>75</v>
      </c>
      <c r="B79" s="9"/>
      <c r="C79" s="5"/>
      <c r="D79" s="5" t="s">
        <v>2125</v>
      </c>
      <c r="E79" s="4" t="s">
        <v>2627</v>
      </c>
    </row>
    <row r="80" spans="1:5">
      <c r="A80" s="4">
        <v>76</v>
      </c>
      <c r="B80" s="9"/>
      <c r="C80" s="5"/>
      <c r="D80" s="5" t="s">
        <v>311</v>
      </c>
      <c r="E80" s="4" t="s">
        <v>2628</v>
      </c>
    </row>
    <row r="81" spans="1:5">
      <c r="A81" s="4">
        <v>77</v>
      </c>
      <c r="B81" s="9"/>
      <c r="C81" s="5"/>
      <c r="D81" s="5" t="s">
        <v>313</v>
      </c>
      <c r="E81" s="4" t="s">
        <v>2629</v>
      </c>
    </row>
    <row r="82" spans="1:5">
      <c r="A82" s="4">
        <v>78</v>
      </c>
      <c r="B82" s="9"/>
      <c r="C82" s="5"/>
      <c r="D82" s="5" t="s">
        <v>1472</v>
      </c>
      <c r="E82" s="4" t="s">
        <v>2630</v>
      </c>
    </row>
    <row r="83" spans="1:5">
      <c r="A83" s="4">
        <v>79</v>
      </c>
      <c r="B83" s="9"/>
      <c r="C83" s="5"/>
      <c r="D83" s="5" t="s">
        <v>317</v>
      </c>
      <c r="E83" s="4" t="s">
        <v>2631</v>
      </c>
    </row>
    <row r="84" spans="1:5">
      <c r="A84" s="4">
        <v>80</v>
      </c>
      <c r="B84" s="9"/>
      <c r="C84" s="5"/>
      <c r="D84" s="5" t="s">
        <v>2126</v>
      </c>
      <c r="E84" s="4" t="s">
        <v>2632</v>
      </c>
    </row>
    <row r="85" spans="1:5">
      <c r="A85" s="4">
        <v>81</v>
      </c>
      <c r="B85" s="9"/>
      <c r="C85" s="5"/>
      <c r="D85" s="5" t="s">
        <v>321</v>
      </c>
      <c r="E85" s="4" t="s">
        <v>2633</v>
      </c>
    </row>
    <row r="86" spans="1:5">
      <c r="A86" s="4">
        <v>82</v>
      </c>
      <c r="B86" s="9"/>
      <c r="C86" s="5"/>
      <c r="D86" s="5" t="s">
        <v>323</v>
      </c>
      <c r="E86" s="4" t="s">
        <v>2634</v>
      </c>
    </row>
    <row r="87" spans="1:5">
      <c r="A87" s="4">
        <v>83</v>
      </c>
      <c r="B87" s="9"/>
      <c r="C87" s="5"/>
      <c r="D87" s="5" t="s">
        <v>325</v>
      </c>
      <c r="E87" s="4" t="s">
        <v>2635</v>
      </c>
    </row>
    <row r="88" spans="1:5">
      <c r="A88" s="4">
        <v>84</v>
      </c>
      <c r="B88" s="9"/>
      <c r="C88" s="5"/>
      <c r="D88" s="5" t="s">
        <v>327</v>
      </c>
      <c r="E88" s="4" t="s">
        <v>2636</v>
      </c>
    </row>
    <row r="89" spans="1:5">
      <c r="A89" s="4">
        <v>85</v>
      </c>
      <c r="B89" s="9"/>
      <c r="C89" s="5"/>
      <c r="D89" s="5" t="s">
        <v>329</v>
      </c>
      <c r="E89" s="4" t="s">
        <v>2637</v>
      </c>
    </row>
    <row r="90" spans="1:5">
      <c r="A90" s="4">
        <v>86</v>
      </c>
      <c r="B90" s="9"/>
      <c r="C90" s="5"/>
      <c r="D90" s="5" t="s">
        <v>331</v>
      </c>
      <c r="E90" s="4" t="s">
        <v>2638</v>
      </c>
    </row>
    <row r="91" spans="1:5">
      <c r="A91" s="4">
        <v>87</v>
      </c>
      <c r="B91" s="9"/>
      <c r="C91" s="5"/>
      <c r="D91" s="5" t="s">
        <v>2127</v>
      </c>
      <c r="E91" s="4" t="s">
        <v>2639</v>
      </c>
    </row>
    <row r="92" spans="1:5">
      <c r="A92" s="4">
        <v>88</v>
      </c>
      <c r="B92" s="9"/>
      <c r="C92" s="5"/>
      <c r="D92" s="5" t="s">
        <v>2128</v>
      </c>
      <c r="E92" s="4" t="s">
        <v>2640</v>
      </c>
    </row>
    <row r="93" spans="1:5">
      <c r="A93" s="4">
        <v>89</v>
      </c>
      <c r="B93" s="9"/>
      <c r="C93" s="5"/>
      <c r="D93" s="5" t="s">
        <v>2129</v>
      </c>
      <c r="E93" s="4" t="s">
        <v>2641</v>
      </c>
    </row>
    <row r="94" spans="1:5">
      <c r="A94" s="4">
        <v>90</v>
      </c>
      <c r="B94" s="9"/>
      <c r="C94" s="5"/>
      <c r="D94" s="5" t="s">
        <v>2130</v>
      </c>
      <c r="E94" s="4" t="s">
        <v>2642</v>
      </c>
    </row>
    <row r="95" spans="1:5">
      <c r="A95" s="4">
        <v>91</v>
      </c>
      <c r="B95" s="9"/>
      <c r="C95" s="5"/>
      <c r="D95" s="5" t="s">
        <v>2131</v>
      </c>
      <c r="E95" s="4" t="s">
        <v>2643</v>
      </c>
    </row>
    <row r="96" spans="1:5">
      <c r="A96" s="4">
        <v>92</v>
      </c>
      <c r="B96" s="9"/>
      <c r="C96" s="5"/>
      <c r="D96" s="5" t="s">
        <v>339</v>
      </c>
      <c r="E96" s="4" t="s">
        <v>2644</v>
      </c>
    </row>
    <row r="97" spans="1:5">
      <c r="A97" s="4">
        <v>93</v>
      </c>
      <c r="B97" s="9"/>
      <c r="C97" s="5"/>
      <c r="D97" s="5" t="s">
        <v>2132</v>
      </c>
      <c r="E97" s="4" t="s">
        <v>2645</v>
      </c>
    </row>
    <row r="98" spans="1:5">
      <c r="A98" s="4">
        <v>94</v>
      </c>
      <c r="B98" s="9"/>
      <c r="C98" s="5"/>
      <c r="D98" s="5" t="s">
        <v>341</v>
      </c>
      <c r="E98" s="4" t="s">
        <v>2646</v>
      </c>
    </row>
    <row r="99" spans="1:5">
      <c r="A99" s="4">
        <v>95</v>
      </c>
      <c r="B99" s="9"/>
      <c r="C99" s="5"/>
      <c r="D99" s="5" t="s">
        <v>343</v>
      </c>
      <c r="E99" s="4" t="s">
        <v>2647</v>
      </c>
    </row>
    <row r="100" spans="1:5">
      <c r="A100" s="4">
        <v>96</v>
      </c>
      <c r="B100" s="9"/>
      <c r="C100" s="5"/>
      <c r="D100" s="5" t="s">
        <v>345</v>
      </c>
      <c r="E100" s="4" t="s">
        <v>2648</v>
      </c>
    </row>
    <row r="101" spans="1:5">
      <c r="A101" s="4">
        <v>97</v>
      </c>
      <c r="B101" s="9"/>
      <c r="C101" s="5"/>
      <c r="D101" s="5" t="s">
        <v>347</v>
      </c>
      <c r="E101" s="4" t="s">
        <v>2649</v>
      </c>
    </row>
    <row r="102" spans="1:5">
      <c r="A102" s="4">
        <v>98</v>
      </c>
      <c r="B102" s="9"/>
      <c r="C102" s="5"/>
      <c r="D102" s="5" t="s">
        <v>349</v>
      </c>
      <c r="E102" s="4" t="s">
        <v>2650</v>
      </c>
    </row>
    <row r="103" spans="1:5">
      <c r="A103" s="4">
        <v>99</v>
      </c>
      <c r="B103" s="9"/>
      <c r="C103" s="5"/>
      <c r="D103" s="5" t="s">
        <v>2651</v>
      </c>
      <c r="E103" s="4" t="s">
        <v>2652</v>
      </c>
    </row>
    <row r="104" spans="1:5">
      <c r="A104" s="4">
        <v>100</v>
      </c>
      <c r="B104" s="9"/>
      <c r="C104" s="5"/>
      <c r="D104" s="5" t="s">
        <v>2134</v>
      </c>
      <c r="E104" s="4" t="s">
        <v>2653</v>
      </c>
    </row>
    <row r="105" spans="1:5">
      <c r="A105" s="4">
        <v>101</v>
      </c>
      <c r="B105" s="9"/>
      <c r="C105" s="5"/>
      <c r="D105" s="5" t="s">
        <v>355</v>
      </c>
      <c r="E105" s="4" t="s">
        <v>2654</v>
      </c>
    </row>
    <row r="106" spans="1:5">
      <c r="A106" s="4">
        <v>102</v>
      </c>
      <c r="B106" s="9"/>
      <c r="C106" s="5"/>
      <c r="D106" s="5" t="s">
        <v>357</v>
      </c>
      <c r="E106" s="4" t="s">
        <v>2655</v>
      </c>
    </row>
    <row r="107" spans="1:5">
      <c r="A107" s="4">
        <v>103</v>
      </c>
      <c r="B107" s="9"/>
      <c r="C107" s="5"/>
      <c r="D107" s="5" t="s">
        <v>2135</v>
      </c>
      <c r="E107" s="4" t="s">
        <v>2656</v>
      </c>
    </row>
    <row r="108" spans="1:5">
      <c r="A108" s="4">
        <v>104</v>
      </c>
      <c r="B108" s="9"/>
      <c r="C108" s="5"/>
      <c r="D108" s="5" t="s">
        <v>2136</v>
      </c>
      <c r="E108" s="4" t="s">
        <v>2657</v>
      </c>
    </row>
    <row r="109" spans="1:5">
      <c r="A109" s="4">
        <v>105</v>
      </c>
      <c r="B109" s="9"/>
      <c r="C109" s="5"/>
      <c r="D109" s="5" t="s">
        <v>361</v>
      </c>
      <c r="E109" s="4" t="s">
        <v>2658</v>
      </c>
    </row>
    <row r="110" spans="1:5">
      <c r="A110" s="4">
        <v>106</v>
      </c>
      <c r="B110" s="9"/>
      <c r="C110" s="5"/>
      <c r="D110" s="5" t="s">
        <v>363</v>
      </c>
      <c r="E110" s="4" t="s">
        <v>2659</v>
      </c>
    </row>
    <row r="111" spans="1:5">
      <c r="A111" s="4">
        <v>107</v>
      </c>
      <c r="B111" s="9"/>
      <c r="C111" s="5"/>
      <c r="D111" s="5" t="s">
        <v>365</v>
      </c>
      <c r="E111" s="4" t="s">
        <v>2660</v>
      </c>
    </row>
    <row r="112" spans="1:5">
      <c r="A112" s="4">
        <v>108</v>
      </c>
      <c r="B112" s="9"/>
      <c r="C112" s="5"/>
      <c r="D112" s="5" t="s">
        <v>2137</v>
      </c>
      <c r="E112" s="4" t="s">
        <v>2661</v>
      </c>
    </row>
    <row r="113" spans="1:5">
      <c r="A113" s="4">
        <v>109</v>
      </c>
      <c r="B113" s="9"/>
      <c r="C113" s="5"/>
      <c r="D113" s="5" t="s">
        <v>367</v>
      </c>
      <c r="E113" s="4" t="s">
        <v>2662</v>
      </c>
    </row>
    <row r="114" spans="1:5">
      <c r="A114" s="4">
        <v>110</v>
      </c>
      <c r="B114" s="9"/>
      <c r="C114" s="5"/>
      <c r="D114" s="5" t="s">
        <v>369</v>
      </c>
      <c r="E114" s="4" t="s">
        <v>2663</v>
      </c>
    </row>
    <row r="115" spans="1:5">
      <c r="A115" s="4">
        <v>111</v>
      </c>
      <c r="B115" s="9"/>
      <c r="C115" s="5"/>
      <c r="D115" s="5" t="s">
        <v>371</v>
      </c>
      <c r="E115" s="4" t="s">
        <v>2664</v>
      </c>
    </row>
    <row r="116" spans="1:5">
      <c r="A116" s="4">
        <v>112</v>
      </c>
      <c r="B116" s="9"/>
      <c r="C116" s="5"/>
      <c r="D116" s="5" t="s">
        <v>373</v>
      </c>
      <c r="E116" s="4" t="s">
        <v>2665</v>
      </c>
    </row>
    <row r="117" spans="1:5">
      <c r="A117" s="4">
        <v>113</v>
      </c>
      <c r="B117" s="9"/>
      <c r="C117" s="5"/>
      <c r="D117" s="5" t="s">
        <v>375</v>
      </c>
      <c r="E117" s="4" t="s">
        <v>2666</v>
      </c>
    </row>
    <row r="118" spans="1:5">
      <c r="A118" s="4">
        <v>114</v>
      </c>
      <c r="B118" s="9"/>
      <c r="C118" s="5"/>
      <c r="D118" s="5" t="s">
        <v>2138</v>
      </c>
      <c r="E118" s="4" t="s">
        <v>2667</v>
      </c>
    </row>
    <row r="119" spans="1:5">
      <c r="A119" s="4">
        <v>115</v>
      </c>
      <c r="B119" s="9"/>
      <c r="C119" s="5"/>
      <c r="D119" s="5" t="s">
        <v>2139</v>
      </c>
      <c r="E119" s="4" t="s">
        <v>2668</v>
      </c>
    </row>
    <row r="120" spans="1:5">
      <c r="A120" s="4">
        <v>116</v>
      </c>
      <c r="B120" s="9"/>
      <c r="C120" s="5"/>
      <c r="D120" s="5" t="s">
        <v>2140</v>
      </c>
      <c r="E120" s="4" t="s">
        <v>2669</v>
      </c>
    </row>
    <row r="121" spans="1:5">
      <c r="A121" s="4">
        <v>117</v>
      </c>
      <c r="B121" s="9"/>
      <c r="C121" s="5"/>
      <c r="D121" s="5" t="s">
        <v>2141</v>
      </c>
      <c r="E121" s="4" t="s">
        <v>2670</v>
      </c>
    </row>
    <row r="122" spans="1:5">
      <c r="A122" s="4">
        <v>118</v>
      </c>
      <c r="B122" s="9"/>
      <c r="C122" s="5"/>
      <c r="D122" s="5" t="s">
        <v>379</v>
      </c>
      <c r="E122" s="4" t="s">
        <v>2671</v>
      </c>
    </row>
    <row r="123" spans="1:5">
      <c r="A123" s="4">
        <v>119</v>
      </c>
      <c r="B123" s="9"/>
      <c r="C123" s="5"/>
      <c r="D123" s="5" t="s">
        <v>381</v>
      </c>
      <c r="E123" s="4" t="s">
        <v>2672</v>
      </c>
    </row>
    <row r="124" spans="1:5">
      <c r="A124" s="4">
        <v>120</v>
      </c>
      <c r="B124" s="9"/>
      <c r="C124" s="5"/>
      <c r="D124" s="5" t="s">
        <v>383</v>
      </c>
      <c r="E124" s="4" t="s">
        <v>2673</v>
      </c>
    </row>
    <row r="125" spans="1:5">
      <c r="A125" s="4">
        <v>121</v>
      </c>
      <c r="B125" s="9"/>
      <c r="C125" s="5"/>
      <c r="D125" s="5" t="s">
        <v>385</v>
      </c>
      <c r="E125" s="4" t="s">
        <v>2674</v>
      </c>
    </row>
    <row r="126" spans="1:5">
      <c r="A126" s="4">
        <v>122</v>
      </c>
      <c r="B126" s="9"/>
      <c r="C126" s="5"/>
      <c r="D126" s="5" t="s">
        <v>2143</v>
      </c>
      <c r="E126" s="4" t="s">
        <v>2675</v>
      </c>
    </row>
    <row r="127" spans="1:5">
      <c r="A127" s="4">
        <v>123</v>
      </c>
      <c r="B127" s="9"/>
      <c r="C127" s="5"/>
      <c r="D127" s="5" t="s">
        <v>2144</v>
      </c>
      <c r="E127" s="4" t="s">
        <v>2676</v>
      </c>
    </row>
    <row r="128" spans="1:5">
      <c r="A128" s="4">
        <v>124</v>
      </c>
      <c r="B128" s="9"/>
      <c r="C128" s="5"/>
      <c r="D128" s="5" t="s">
        <v>387</v>
      </c>
      <c r="E128" s="4" t="s">
        <v>2677</v>
      </c>
    </row>
    <row r="129" spans="1:5">
      <c r="A129" s="4">
        <v>125</v>
      </c>
      <c r="B129" s="9"/>
      <c r="C129" s="5"/>
      <c r="D129" s="5" t="s">
        <v>389</v>
      </c>
      <c r="E129" s="4" t="s">
        <v>2678</v>
      </c>
    </row>
    <row r="130" spans="1:5">
      <c r="A130" s="4">
        <v>126</v>
      </c>
      <c r="B130" s="9"/>
      <c r="C130" s="5"/>
      <c r="D130" s="5" t="s">
        <v>2145</v>
      </c>
      <c r="E130" s="4" t="s">
        <v>2679</v>
      </c>
    </row>
    <row r="131" spans="1:5">
      <c r="A131" s="4">
        <v>127</v>
      </c>
      <c r="B131" s="9"/>
      <c r="C131" s="5"/>
      <c r="D131" s="5" t="s">
        <v>391</v>
      </c>
      <c r="E131" s="4" t="s">
        <v>2680</v>
      </c>
    </row>
    <row r="132" spans="1:5">
      <c r="A132" s="4">
        <v>128</v>
      </c>
      <c r="B132" s="9"/>
      <c r="C132" s="5"/>
      <c r="D132" s="5" t="s">
        <v>2146</v>
      </c>
      <c r="E132" s="4" t="s">
        <v>2681</v>
      </c>
    </row>
    <row r="133" spans="1:5">
      <c r="A133" s="4">
        <v>129</v>
      </c>
      <c r="B133" s="9"/>
      <c r="C133" s="5"/>
      <c r="D133" s="5" t="s">
        <v>2147</v>
      </c>
      <c r="E133" s="4" t="s">
        <v>2682</v>
      </c>
    </row>
    <row r="134" spans="1:5">
      <c r="A134" s="4">
        <v>130</v>
      </c>
      <c r="B134" s="9"/>
      <c r="C134" s="5"/>
      <c r="D134" s="5" t="s">
        <v>2148</v>
      </c>
      <c r="E134" s="4" t="s">
        <v>2683</v>
      </c>
    </row>
    <row r="135" spans="1:5">
      <c r="A135" s="4">
        <v>131</v>
      </c>
      <c r="B135" s="9"/>
      <c r="C135" s="5"/>
      <c r="D135" s="5" t="s">
        <v>395</v>
      </c>
      <c r="E135" s="4" t="s">
        <v>2684</v>
      </c>
    </row>
    <row r="136" spans="1:5">
      <c r="A136" s="4">
        <v>132</v>
      </c>
      <c r="B136" s="9"/>
      <c r="C136" s="5"/>
      <c r="D136" s="5" t="s">
        <v>2149</v>
      </c>
      <c r="E136" s="4" t="s">
        <v>2685</v>
      </c>
    </row>
    <row r="137" spans="1:5">
      <c r="A137" s="4">
        <v>133</v>
      </c>
      <c r="B137" s="9"/>
      <c r="C137" s="5"/>
      <c r="D137" s="5" t="s">
        <v>397</v>
      </c>
      <c r="E137" s="4" t="s">
        <v>2686</v>
      </c>
    </row>
    <row r="138" spans="1:5">
      <c r="A138" s="4">
        <v>134</v>
      </c>
      <c r="B138" s="9"/>
      <c r="C138" s="5"/>
      <c r="D138" s="5" t="s">
        <v>399</v>
      </c>
      <c r="E138" s="4" t="s">
        <v>2687</v>
      </c>
    </row>
    <row r="139" spans="1:5">
      <c r="A139" s="4">
        <v>135</v>
      </c>
      <c r="B139" s="9"/>
      <c r="C139" s="5"/>
      <c r="D139" s="5" t="s">
        <v>2150</v>
      </c>
      <c r="E139" s="4" t="s">
        <v>2688</v>
      </c>
    </row>
    <row r="140" spans="1:5">
      <c r="A140" s="4">
        <v>136</v>
      </c>
      <c r="B140" s="9"/>
      <c r="C140" s="5"/>
      <c r="D140" s="5" t="s">
        <v>2151</v>
      </c>
      <c r="E140" s="4" t="s">
        <v>2689</v>
      </c>
    </row>
    <row r="141" spans="1:5">
      <c r="A141" s="4">
        <v>137</v>
      </c>
      <c r="B141" s="9"/>
      <c r="C141" s="5"/>
      <c r="D141" s="5" t="s">
        <v>403</v>
      </c>
      <c r="E141" s="4" t="s">
        <v>2690</v>
      </c>
    </row>
    <row r="142" spans="1:5">
      <c r="A142" s="4">
        <v>138</v>
      </c>
      <c r="B142" s="9"/>
      <c r="C142" s="5"/>
      <c r="D142" s="5" t="s">
        <v>405</v>
      </c>
      <c r="E142" s="4" t="s">
        <v>2691</v>
      </c>
    </row>
    <row r="143" spans="1:5">
      <c r="A143" s="4">
        <v>139</v>
      </c>
      <c r="B143" s="9"/>
      <c r="C143" s="5"/>
      <c r="D143" s="5" t="s">
        <v>407</v>
      </c>
      <c r="E143" s="4" t="s">
        <v>2692</v>
      </c>
    </row>
    <row r="144" spans="1:5">
      <c r="A144" s="4">
        <v>140</v>
      </c>
      <c r="B144" s="9"/>
      <c r="C144" s="5"/>
      <c r="D144" s="5" t="s">
        <v>409</v>
      </c>
      <c r="E144" s="4" t="s">
        <v>2693</v>
      </c>
    </row>
    <row r="145" spans="1:5">
      <c r="A145" s="4">
        <v>141</v>
      </c>
      <c r="B145" s="9"/>
      <c r="C145" s="5"/>
      <c r="D145" s="5" t="s">
        <v>411</v>
      </c>
      <c r="E145" s="4" t="s">
        <v>2694</v>
      </c>
    </row>
    <row r="146" spans="1:5">
      <c r="A146" s="4">
        <v>142</v>
      </c>
      <c r="B146" s="9"/>
      <c r="C146" s="5"/>
      <c r="D146" s="5" t="s">
        <v>2152</v>
      </c>
      <c r="E146" s="4" t="s">
        <v>2695</v>
      </c>
    </row>
    <row r="147" spans="1:5">
      <c r="A147" s="4">
        <v>143</v>
      </c>
      <c r="B147" s="9"/>
      <c r="C147" s="5"/>
      <c r="D147" s="5" t="s">
        <v>415</v>
      </c>
      <c r="E147" s="4" t="s">
        <v>2696</v>
      </c>
    </row>
    <row r="148" spans="1:5">
      <c r="A148" s="4">
        <v>144</v>
      </c>
      <c r="B148" s="9"/>
      <c r="C148" s="5"/>
      <c r="D148" s="5" t="s">
        <v>2153</v>
      </c>
      <c r="E148" s="4" t="s">
        <v>2697</v>
      </c>
    </row>
    <row r="149" spans="1:5">
      <c r="A149" s="4">
        <v>145</v>
      </c>
      <c r="B149" s="9"/>
      <c r="C149" s="5"/>
      <c r="D149" s="5" t="s">
        <v>417</v>
      </c>
      <c r="E149" s="4" t="s">
        <v>2698</v>
      </c>
    </row>
  </sheetData>
  <autoFilter ref="A4:D149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39"/>
  <sheetViews>
    <sheetView workbookViewId="0">
      <pane ySplit="4" topLeftCell="A5" activePane="bottomLeft" state="frozen"/>
      <selection/>
      <selection pane="bottomLeft" activeCell="I12" sqref="I12"/>
    </sheetView>
  </sheetViews>
  <sheetFormatPr defaultColWidth="9" defaultRowHeight="15.6"/>
  <cols>
    <col min="1" max="1" width="9" style="4"/>
    <col min="2" max="2" width="8.44444444444444" style="4" customWidth="1"/>
    <col min="3" max="3" width="15.4444444444444" style="4" customWidth="1"/>
    <col min="4" max="4" width="24.2222222222222" style="4" customWidth="1"/>
    <col min="5" max="5" width="9" style="5"/>
    <col min="6" max="11" width="9" style="4"/>
    <col min="12" max="12" width="13.7777777777778" style="4" customWidth="1"/>
    <col min="13" max="16384" width="9" style="4"/>
  </cols>
  <sheetData>
    <row r="1" ht="23.25" customHeight="1" spans="5:12">
      <c r="E1" s="6" t="s">
        <v>2012</v>
      </c>
      <c r="F1" s="6"/>
      <c r="G1" s="6"/>
      <c r="H1" s="6"/>
      <c r="I1" s="6"/>
      <c r="J1" s="6"/>
      <c r="K1" s="6"/>
      <c r="L1" s="6"/>
    </row>
    <row r="2" ht="19.2" spans="2:11">
      <c r="B2" s="7"/>
      <c r="C2" s="7"/>
      <c r="D2" s="7"/>
      <c r="E2" s="4">
        <v>4</v>
      </c>
      <c r="F2" s="4">
        <v>5</v>
      </c>
      <c r="K2" s="4">
        <v>4</v>
      </c>
    </row>
    <row r="3" ht="19.2" spans="2:12">
      <c r="B3" s="7"/>
      <c r="C3" s="7"/>
      <c r="D3" s="7"/>
      <c r="E3" s="8" t="s">
        <v>2515</v>
      </c>
      <c r="F3" s="8">
        <v>1</v>
      </c>
      <c r="G3" s="8">
        <v>2</v>
      </c>
      <c r="H3" s="8">
        <v>3</v>
      </c>
      <c r="I3" s="8">
        <v>4</v>
      </c>
      <c r="J3" s="8">
        <v>5</v>
      </c>
      <c r="K3" s="8" t="s">
        <v>2516</v>
      </c>
      <c r="L3" s="8">
        <v>4</v>
      </c>
    </row>
    <row r="4" spans="2:12">
      <c r="B4" s="4" t="s">
        <v>2699</v>
      </c>
      <c r="C4" s="4" t="s">
        <v>2700</v>
      </c>
      <c r="D4" s="4" t="s">
        <v>2701</v>
      </c>
      <c r="F4" s="4" t="s">
        <v>7</v>
      </c>
      <c r="K4" s="4" t="s">
        <v>2517</v>
      </c>
      <c r="L4" s="4" t="s">
        <v>2552</v>
      </c>
    </row>
    <row r="5" spans="1:5">
      <c r="A5" s="4">
        <v>1</v>
      </c>
      <c r="B5" s="5" t="s">
        <v>427</v>
      </c>
      <c r="C5" s="4" t="s">
        <v>2064</v>
      </c>
      <c r="D5" s="4" t="s">
        <v>493</v>
      </c>
      <c r="E5" s="5" t="s">
        <v>2702</v>
      </c>
    </row>
    <row r="6" spans="1:5">
      <c r="A6" s="4">
        <v>2</v>
      </c>
      <c r="E6" s="5" t="s">
        <v>2703</v>
      </c>
    </row>
    <row r="7" spans="1:5">
      <c r="A7" s="4">
        <v>3</v>
      </c>
      <c r="E7" s="5" t="s">
        <v>2704</v>
      </c>
    </row>
    <row r="8" spans="1:5">
      <c r="A8" s="4">
        <v>4</v>
      </c>
      <c r="E8" s="5" t="s">
        <v>2705</v>
      </c>
    </row>
    <row r="9" spans="1:5">
      <c r="A9" s="4">
        <v>5</v>
      </c>
      <c r="E9" s="5" t="s">
        <v>2706</v>
      </c>
    </row>
    <row r="10" spans="1:5">
      <c r="A10" s="4">
        <v>6</v>
      </c>
      <c r="E10" s="5" t="s">
        <v>2707</v>
      </c>
    </row>
    <row r="11" spans="1:5">
      <c r="A11" s="4">
        <v>7</v>
      </c>
      <c r="E11" s="5" t="s">
        <v>2708</v>
      </c>
    </row>
    <row r="12" spans="1:5">
      <c r="A12" s="4">
        <v>8</v>
      </c>
      <c r="E12" s="5" t="s">
        <v>2709</v>
      </c>
    </row>
    <row r="13" spans="1:5">
      <c r="A13" s="4">
        <v>9</v>
      </c>
      <c r="E13" s="5" t="s">
        <v>2710</v>
      </c>
    </row>
    <row r="14" spans="1:5">
      <c r="A14" s="4">
        <v>10</v>
      </c>
      <c r="E14" s="5" t="s">
        <v>2711</v>
      </c>
    </row>
    <row r="15" spans="1:5">
      <c r="A15" s="4">
        <v>11</v>
      </c>
      <c r="E15" s="5" t="s">
        <v>2712</v>
      </c>
    </row>
    <row r="16" spans="1:5">
      <c r="A16" s="4">
        <v>12</v>
      </c>
      <c r="E16" s="5" t="s">
        <v>2713</v>
      </c>
    </row>
    <row r="17" spans="1:5">
      <c r="A17" s="4">
        <v>13</v>
      </c>
      <c r="E17" s="5" t="s">
        <v>2714</v>
      </c>
    </row>
    <row r="18" spans="1:5">
      <c r="A18" s="4">
        <v>14</v>
      </c>
      <c r="D18" s="4" t="s">
        <v>2156</v>
      </c>
      <c r="E18" s="5" t="s">
        <v>2715</v>
      </c>
    </row>
    <row r="19" spans="1:5">
      <c r="A19" s="4">
        <v>15</v>
      </c>
      <c r="E19" s="5" t="s">
        <v>2716</v>
      </c>
    </row>
    <row r="20" spans="1:5">
      <c r="A20" s="4">
        <v>16</v>
      </c>
      <c r="E20" s="5" t="s">
        <v>2717</v>
      </c>
    </row>
    <row r="21" spans="1:5">
      <c r="A21" s="4">
        <v>17</v>
      </c>
      <c r="E21" s="5" t="s">
        <v>2718</v>
      </c>
    </row>
    <row r="22" spans="1:5">
      <c r="A22" s="4">
        <v>18</v>
      </c>
      <c r="E22" s="5" t="s">
        <v>2719</v>
      </c>
    </row>
    <row r="23" spans="1:5">
      <c r="A23" s="4">
        <v>19</v>
      </c>
      <c r="E23" s="5" t="s">
        <v>2720</v>
      </c>
    </row>
    <row r="24" spans="1:5">
      <c r="A24" s="4">
        <v>20</v>
      </c>
      <c r="E24" s="5" t="s">
        <v>2721</v>
      </c>
    </row>
    <row r="25" spans="1:5">
      <c r="A25" s="4">
        <v>21</v>
      </c>
      <c r="E25" s="5" t="s">
        <v>2722</v>
      </c>
    </row>
    <row r="26" spans="1:5">
      <c r="A26" s="4">
        <v>22</v>
      </c>
      <c r="E26" s="5" t="s">
        <v>2723</v>
      </c>
    </row>
    <row r="27" spans="1:5">
      <c r="A27" s="4">
        <v>23</v>
      </c>
      <c r="E27" s="5" t="s">
        <v>2724</v>
      </c>
    </row>
    <row r="28" spans="1:5">
      <c r="A28" s="4">
        <v>24</v>
      </c>
      <c r="E28" s="5" t="s">
        <v>2725</v>
      </c>
    </row>
    <row r="29" spans="1:5">
      <c r="A29" s="4">
        <v>25</v>
      </c>
      <c r="E29" s="5" t="s">
        <v>2726</v>
      </c>
    </row>
    <row r="30" spans="1:5">
      <c r="A30" s="4">
        <v>26</v>
      </c>
      <c r="E30" s="5" t="s">
        <v>2727</v>
      </c>
    </row>
    <row r="31" spans="1:5">
      <c r="A31" s="4">
        <v>27</v>
      </c>
      <c r="E31" s="5" t="s">
        <v>2728</v>
      </c>
    </row>
    <row r="32" spans="1:5">
      <c r="A32" s="4">
        <v>28</v>
      </c>
      <c r="E32" s="5" t="s">
        <v>2729</v>
      </c>
    </row>
    <row r="33" spans="1:5">
      <c r="A33" s="4">
        <v>29</v>
      </c>
      <c r="E33" s="5" t="s">
        <v>2730</v>
      </c>
    </row>
    <row r="34" spans="1:5">
      <c r="A34" s="4">
        <v>30</v>
      </c>
      <c r="E34" s="5" t="s">
        <v>2731</v>
      </c>
    </row>
    <row r="35" spans="1:5">
      <c r="A35" s="4">
        <v>31</v>
      </c>
      <c r="E35" s="5" t="s">
        <v>2732</v>
      </c>
    </row>
    <row r="36" spans="1:5">
      <c r="A36" s="4">
        <v>32</v>
      </c>
      <c r="E36" s="5" t="s">
        <v>2733</v>
      </c>
    </row>
    <row r="37" spans="1:5">
      <c r="A37" s="4">
        <v>33</v>
      </c>
      <c r="D37" s="5" t="s">
        <v>520</v>
      </c>
      <c r="E37" s="5" t="s">
        <v>2734</v>
      </c>
    </row>
    <row r="38" spans="1:5">
      <c r="A38" s="4">
        <v>34</v>
      </c>
      <c r="D38" s="5" t="s">
        <v>514</v>
      </c>
      <c r="E38" s="5" t="s">
        <v>2735</v>
      </c>
    </row>
    <row r="39" spans="1:5">
      <c r="A39" s="4">
        <v>35</v>
      </c>
      <c r="C39" s="8" t="s">
        <v>2736</v>
      </c>
      <c r="D39" s="5" t="s">
        <v>615</v>
      </c>
      <c r="E39" s="5" t="s">
        <v>2737</v>
      </c>
    </row>
    <row r="40" spans="1:5">
      <c r="A40" s="4">
        <v>36</v>
      </c>
      <c r="C40" s="4" t="s">
        <v>2067</v>
      </c>
      <c r="D40" s="5" t="s">
        <v>450</v>
      </c>
      <c r="E40" s="5" t="s">
        <v>2738</v>
      </c>
    </row>
    <row r="41" spans="1:5">
      <c r="A41" s="4">
        <v>37</v>
      </c>
      <c r="D41" s="5" t="s">
        <v>458</v>
      </c>
      <c r="E41" s="5" t="s">
        <v>2739</v>
      </c>
    </row>
    <row r="42" spans="1:5">
      <c r="A42" s="4">
        <v>38</v>
      </c>
      <c r="D42" s="5" t="s">
        <v>452</v>
      </c>
      <c r="E42" s="5" t="s">
        <v>2740</v>
      </c>
    </row>
    <row r="43" spans="1:5">
      <c r="A43" s="4">
        <v>39</v>
      </c>
      <c r="D43" s="5" t="s">
        <v>460</v>
      </c>
      <c r="E43" s="5" t="s">
        <v>2741</v>
      </c>
    </row>
    <row r="44" spans="1:5">
      <c r="A44" s="4">
        <v>40</v>
      </c>
      <c r="D44" s="5" t="s">
        <v>454</v>
      </c>
      <c r="E44" s="5" t="s">
        <v>2742</v>
      </c>
    </row>
    <row r="45" spans="1:5">
      <c r="A45" s="4">
        <v>41</v>
      </c>
      <c r="D45" s="5" t="s">
        <v>462</v>
      </c>
      <c r="E45" s="5" t="s">
        <v>2743</v>
      </c>
    </row>
    <row r="46" spans="1:5">
      <c r="A46" s="4">
        <v>42</v>
      </c>
      <c r="D46" s="5" t="s">
        <v>456</v>
      </c>
      <c r="E46" s="5" t="s">
        <v>2744</v>
      </c>
    </row>
    <row r="47" spans="1:5">
      <c r="A47" s="4">
        <v>43</v>
      </c>
      <c r="D47" s="5" t="s">
        <v>464</v>
      </c>
      <c r="E47" s="5" t="s">
        <v>2745</v>
      </c>
    </row>
    <row r="48" spans="1:5">
      <c r="A48" s="4">
        <v>44</v>
      </c>
      <c r="D48" s="5" t="s">
        <v>466</v>
      </c>
      <c r="E48" s="5" t="s">
        <v>2746</v>
      </c>
    </row>
    <row r="49" spans="1:5">
      <c r="A49" s="4">
        <v>45</v>
      </c>
      <c r="D49" s="5" t="s">
        <v>474</v>
      </c>
      <c r="E49" s="5" t="s">
        <v>2747</v>
      </c>
    </row>
    <row r="50" spans="1:5">
      <c r="A50" s="4">
        <v>46</v>
      </c>
      <c r="D50" s="5" t="s">
        <v>468</v>
      </c>
      <c r="E50" s="5" t="s">
        <v>2748</v>
      </c>
    </row>
    <row r="51" spans="1:5">
      <c r="A51" s="4">
        <v>47</v>
      </c>
      <c r="D51" s="5" t="s">
        <v>470</v>
      </c>
      <c r="E51" s="5" t="s">
        <v>2749</v>
      </c>
    </row>
    <row r="52" spans="1:5">
      <c r="A52" s="4">
        <v>48</v>
      </c>
      <c r="D52" s="5" t="s">
        <v>472</v>
      </c>
      <c r="E52" s="5" t="s">
        <v>2750</v>
      </c>
    </row>
    <row r="53" spans="1:5">
      <c r="A53" s="4">
        <v>49</v>
      </c>
      <c r="C53" s="4" t="s">
        <v>482</v>
      </c>
      <c r="D53" s="5" t="s">
        <v>483</v>
      </c>
      <c r="E53" s="5" t="s">
        <v>2751</v>
      </c>
    </row>
    <row r="54" spans="1:5">
      <c r="A54" s="4">
        <v>50</v>
      </c>
      <c r="D54" s="5" t="s">
        <v>485</v>
      </c>
      <c r="E54" s="5" t="s">
        <v>2752</v>
      </c>
    </row>
    <row r="55" spans="1:5">
      <c r="A55" s="4">
        <v>51</v>
      </c>
      <c r="D55" s="5" t="s">
        <v>487</v>
      </c>
      <c r="E55" s="5" t="s">
        <v>2753</v>
      </c>
    </row>
    <row r="56" spans="1:5">
      <c r="A56" s="4">
        <v>52</v>
      </c>
      <c r="D56" s="5" t="s">
        <v>489</v>
      </c>
      <c r="E56" s="5" t="s">
        <v>2754</v>
      </c>
    </row>
    <row r="57" spans="1:5">
      <c r="A57" s="4">
        <v>53</v>
      </c>
      <c r="C57" s="8" t="s">
        <v>2070</v>
      </c>
      <c r="E57" s="5" t="s">
        <v>2755</v>
      </c>
    </row>
    <row r="58" spans="1:5">
      <c r="A58" s="4">
        <v>54</v>
      </c>
      <c r="C58" s="4" t="s">
        <v>2072</v>
      </c>
      <c r="D58" s="5" t="s">
        <v>2184</v>
      </c>
      <c r="E58" s="5" t="s">
        <v>2756</v>
      </c>
    </row>
    <row r="59" spans="1:5">
      <c r="A59" s="4">
        <v>55</v>
      </c>
      <c r="B59" s="5"/>
      <c r="D59" s="5" t="s">
        <v>2186</v>
      </c>
      <c r="E59" s="5" t="s">
        <v>2757</v>
      </c>
    </row>
    <row r="60" spans="1:5">
      <c r="A60" s="4">
        <v>56</v>
      </c>
      <c r="B60" s="5"/>
      <c r="D60" s="5" t="s">
        <v>2188</v>
      </c>
      <c r="E60" s="5" t="s">
        <v>2758</v>
      </c>
    </row>
    <row r="61" spans="1:5">
      <c r="A61" s="4">
        <v>57</v>
      </c>
      <c r="B61" s="5"/>
      <c r="D61" s="5" t="s">
        <v>967</v>
      </c>
      <c r="E61" s="5" t="s">
        <v>2759</v>
      </c>
    </row>
    <row r="62" spans="1:5">
      <c r="A62" s="4">
        <v>58</v>
      </c>
      <c r="B62" s="5"/>
      <c r="E62" s="5" t="s">
        <v>2760</v>
      </c>
    </row>
    <row r="63" spans="1:5">
      <c r="A63" s="4">
        <v>59</v>
      </c>
      <c r="B63" s="5"/>
      <c r="E63" s="5" t="s">
        <v>2761</v>
      </c>
    </row>
    <row r="64" spans="1:5">
      <c r="A64" s="4">
        <v>60</v>
      </c>
      <c r="B64" s="5"/>
      <c r="D64" s="5" t="s">
        <v>2191</v>
      </c>
      <c r="E64" s="5" t="s">
        <v>2762</v>
      </c>
    </row>
    <row r="65" spans="1:5">
      <c r="A65" s="4">
        <v>61</v>
      </c>
      <c r="B65" s="5"/>
      <c r="D65" s="5" t="s">
        <v>2193</v>
      </c>
      <c r="E65" s="5" t="s">
        <v>2763</v>
      </c>
    </row>
    <row r="66" spans="1:5">
      <c r="A66" s="4">
        <v>62</v>
      </c>
      <c r="D66" s="5" t="s">
        <v>2195</v>
      </c>
      <c r="E66" s="5" t="s">
        <v>2764</v>
      </c>
    </row>
    <row r="67" spans="1:5">
      <c r="A67" s="4">
        <v>63</v>
      </c>
      <c r="C67" s="4" t="s">
        <v>2765</v>
      </c>
      <c r="D67" s="5" t="s">
        <v>2197</v>
      </c>
      <c r="E67" s="5" t="s">
        <v>2766</v>
      </c>
    </row>
    <row r="68" spans="1:5">
      <c r="A68" s="4">
        <v>64</v>
      </c>
      <c r="D68" s="5" t="s">
        <v>2199</v>
      </c>
      <c r="E68" s="5" t="s">
        <v>2767</v>
      </c>
    </row>
    <row r="69" spans="1:5">
      <c r="A69" s="4">
        <v>65</v>
      </c>
      <c r="C69" s="4" t="s">
        <v>2768</v>
      </c>
      <c r="D69" s="5" t="s">
        <v>2201</v>
      </c>
      <c r="E69" s="5" t="s">
        <v>2769</v>
      </c>
    </row>
    <row r="70" spans="1:5">
      <c r="A70" s="4">
        <v>66</v>
      </c>
      <c r="D70" s="5" t="s">
        <v>2203</v>
      </c>
      <c r="E70" s="5" t="s">
        <v>2770</v>
      </c>
    </row>
    <row r="71" spans="1:5">
      <c r="A71" s="4">
        <v>67</v>
      </c>
      <c r="D71" s="5" t="s">
        <v>2205</v>
      </c>
      <c r="E71" s="5" t="s">
        <v>2771</v>
      </c>
    </row>
    <row r="72" spans="1:5">
      <c r="A72" s="4">
        <v>68</v>
      </c>
      <c r="C72" s="4" t="s">
        <v>567</v>
      </c>
      <c r="D72" s="5" t="s">
        <v>2207</v>
      </c>
      <c r="E72" s="5" t="s">
        <v>2772</v>
      </c>
    </row>
    <row r="73" spans="1:5">
      <c r="A73" s="4">
        <v>69</v>
      </c>
      <c r="D73" s="5"/>
      <c r="E73" s="5" t="s">
        <v>2773</v>
      </c>
    </row>
    <row r="74" spans="1:5">
      <c r="A74" s="4">
        <v>70</v>
      </c>
      <c r="D74" s="5" t="s">
        <v>2209</v>
      </c>
      <c r="E74" s="5" t="s">
        <v>2774</v>
      </c>
    </row>
    <row r="75" spans="1:5">
      <c r="A75" s="4">
        <v>71</v>
      </c>
      <c r="D75" s="5"/>
      <c r="E75" s="5" t="s">
        <v>2775</v>
      </c>
    </row>
    <row r="76" spans="1:5">
      <c r="A76" s="4">
        <v>72</v>
      </c>
      <c r="D76" s="5" t="s">
        <v>967</v>
      </c>
      <c r="E76" s="5" t="s">
        <v>2776</v>
      </c>
    </row>
    <row r="77" spans="1:5">
      <c r="A77" s="4">
        <v>73</v>
      </c>
      <c r="D77" s="5"/>
      <c r="E77" s="5" t="s">
        <v>2777</v>
      </c>
    </row>
    <row r="78" spans="1:5">
      <c r="A78" s="4">
        <v>74</v>
      </c>
      <c r="D78" s="5"/>
      <c r="E78" s="5" t="s">
        <v>2778</v>
      </c>
    </row>
    <row r="79" spans="1:5">
      <c r="A79" s="4">
        <v>75</v>
      </c>
      <c r="D79" s="5"/>
      <c r="E79" s="5" t="s">
        <v>2779</v>
      </c>
    </row>
    <row r="80" spans="1:5">
      <c r="A80" s="4">
        <v>76</v>
      </c>
      <c r="D80" s="5" t="s">
        <v>2212</v>
      </c>
      <c r="E80" s="5" t="s">
        <v>2780</v>
      </c>
    </row>
    <row r="81" spans="1:5">
      <c r="A81" s="4">
        <v>77</v>
      </c>
      <c r="D81" s="5"/>
      <c r="E81" s="5" t="s">
        <v>2781</v>
      </c>
    </row>
    <row r="82" spans="1:5">
      <c r="A82" s="4">
        <v>78</v>
      </c>
      <c r="C82" s="8" t="s">
        <v>580</v>
      </c>
      <c r="D82" s="5" t="s">
        <v>2455</v>
      </c>
      <c r="E82" s="5" t="s">
        <v>2782</v>
      </c>
    </row>
    <row r="83" spans="1:5">
      <c r="A83" s="4">
        <v>79</v>
      </c>
      <c r="C83" s="8"/>
      <c r="D83" s="5" t="s">
        <v>2456</v>
      </c>
      <c r="E83" s="5" t="s">
        <v>2783</v>
      </c>
    </row>
    <row r="84" spans="1:5">
      <c r="A84" s="4">
        <v>80</v>
      </c>
      <c r="C84" s="8"/>
      <c r="D84" s="5" t="s">
        <v>2457</v>
      </c>
      <c r="E84" s="5" t="s">
        <v>2784</v>
      </c>
    </row>
    <row r="85" spans="1:5">
      <c r="A85" s="4">
        <v>81</v>
      </c>
      <c r="C85" s="4" t="s">
        <v>439</v>
      </c>
      <c r="D85" s="5" t="s">
        <v>2458</v>
      </c>
      <c r="E85" s="5" t="s">
        <v>2785</v>
      </c>
    </row>
    <row r="86" spans="1:5">
      <c r="A86" s="4">
        <v>82</v>
      </c>
      <c r="D86" s="5" t="s">
        <v>2459</v>
      </c>
      <c r="E86" s="5" t="s">
        <v>2786</v>
      </c>
    </row>
    <row r="87" spans="1:5">
      <c r="A87" s="4">
        <v>83</v>
      </c>
      <c r="D87" s="5" t="s">
        <v>2460</v>
      </c>
      <c r="E87" s="5" t="s">
        <v>2787</v>
      </c>
    </row>
    <row r="88" spans="1:5">
      <c r="A88" s="4">
        <v>84</v>
      </c>
      <c r="D88" s="5" t="s">
        <v>2461</v>
      </c>
      <c r="E88" s="5" t="s">
        <v>2788</v>
      </c>
    </row>
    <row r="89" spans="1:5">
      <c r="A89" s="4">
        <v>85</v>
      </c>
      <c r="C89" s="4" t="s">
        <v>437</v>
      </c>
      <c r="D89" s="5" t="s">
        <v>2462</v>
      </c>
      <c r="E89" s="5" t="s">
        <v>2789</v>
      </c>
    </row>
    <row r="90" spans="1:5">
      <c r="A90" s="4">
        <v>86</v>
      </c>
      <c r="D90" s="5" t="s">
        <v>2463</v>
      </c>
      <c r="E90" s="5" t="s">
        <v>2790</v>
      </c>
    </row>
    <row r="91" spans="1:5">
      <c r="A91" s="4">
        <v>87</v>
      </c>
      <c r="D91" s="5" t="s">
        <v>2464</v>
      </c>
      <c r="E91" s="5" t="s">
        <v>2791</v>
      </c>
    </row>
    <row r="92" spans="1:5">
      <c r="A92" s="4">
        <v>88</v>
      </c>
      <c r="D92" s="5" t="s">
        <v>2465</v>
      </c>
      <c r="E92" s="5" t="s">
        <v>2792</v>
      </c>
    </row>
    <row r="93" spans="1:5">
      <c r="A93" s="4">
        <v>89</v>
      </c>
      <c r="D93" s="5" t="s">
        <v>2466</v>
      </c>
      <c r="E93" s="5" t="s">
        <v>2793</v>
      </c>
    </row>
    <row r="94" spans="1:5">
      <c r="A94" s="4">
        <v>90</v>
      </c>
      <c r="D94" s="5" t="s">
        <v>2467</v>
      </c>
      <c r="E94" s="5" t="s">
        <v>2794</v>
      </c>
    </row>
    <row r="95" spans="1:5">
      <c r="A95" s="4">
        <v>91</v>
      </c>
      <c r="D95" s="5" t="s">
        <v>2468</v>
      </c>
      <c r="E95" s="5" t="s">
        <v>2795</v>
      </c>
    </row>
    <row r="96" spans="1:5">
      <c r="A96" s="4">
        <v>92</v>
      </c>
      <c r="D96" s="5" t="s">
        <v>2469</v>
      </c>
      <c r="E96" s="5" t="s">
        <v>2796</v>
      </c>
    </row>
    <row r="97" spans="1:5">
      <c r="A97" s="4">
        <v>93</v>
      </c>
      <c r="D97" s="5" t="s">
        <v>2470</v>
      </c>
      <c r="E97" s="5" t="s">
        <v>2797</v>
      </c>
    </row>
    <row r="98" spans="1:5">
      <c r="A98" s="4">
        <v>94</v>
      </c>
      <c r="D98" s="5" t="s">
        <v>2471</v>
      </c>
      <c r="E98" s="5" t="s">
        <v>2798</v>
      </c>
    </row>
    <row r="99" spans="1:5">
      <c r="A99" s="4">
        <v>95</v>
      </c>
      <c r="C99" s="4" t="s">
        <v>435</v>
      </c>
      <c r="D99" s="5" t="s">
        <v>2472</v>
      </c>
      <c r="E99" s="5" t="s">
        <v>2799</v>
      </c>
    </row>
    <row r="100" spans="1:5">
      <c r="A100" s="4">
        <v>96</v>
      </c>
      <c r="D100" s="5" t="s">
        <v>2473</v>
      </c>
      <c r="E100" s="5" t="s">
        <v>2800</v>
      </c>
    </row>
    <row r="101" spans="1:5">
      <c r="A101" s="4">
        <v>97</v>
      </c>
      <c r="D101" s="5" t="s">
        <v>2474</v>
      </c>
      <c r="E101" s="5" t="s">
        <v>2801</v>
      </c>
    </row>
    <row r="102" spans="1:5">
      <c r="A102" s="4">
        <v>98</v>
      </c>
      <c r="D102" s="5" t="s">
        <v>2475</v>
      </c>
      <c r="E102" s="5" t="s">
        <v>2802</v>
      </c>
    </row>
    <row r="103" spans="1:5">
      <c r="A103" s="4">
        <v>99</v>
      </c>
      <c r="D103" s="5" t="s">
        <v>2476</v>
      </c>
      <c r="E103" s="5" t="s">
        <v>2803</v>
      </c>
    </row>
    <row r="104" spans="1:5">
      <c r="A104" s="4">
        <v>100</v>
      </c>
      <c r="C104" s="4" t="s">
        <v>431</v>
      </c>
      <c r="D104" s="5" t="s">
        <v>2477</v>
      </c>
      <c r="E104" s="5" t="s">
        <v>2804</v>
      </c>
    </row>
    <row r="105" spans="1:5">
      <c r="A105" s="4">
        <v>101</v>
      </c>
      <c r="D105" s="5" t="s">
        <v>2478</v>
      </c>
      <c r="E105" s="5" t="s">
        <v>2805</v>
      </c>
    </row>
    <row r="106" spans="1:5">
      <c r="A106" s="4">
        <v>102</v>
      </c>
      <c r="D106" s="5" t="s">
        <v>2479</v>
      </c>
      <c r="E106" s="5" t="s">
        <v>2806</v>
      </c>
    </row>
    <row r="107" spans="1:5">
      <c r="A107" s="4">
        <v>103</v>
      </c>
      <c r="D107" s="5" t="s">
        <v>2480</v>
      </c>
      <c r="E107" s="5" t="s">
        <v>2807</v>
      </c>
    </row>
    <row r="108" spans="1:5">
      <c r="A108" s="4">
        <v>104</v>
      </c>
      <c r="D108" s="5" t="s">
        <v>2481</v>
      </c>
      <c r="E108" s="5" t="s">
        <v>2808</v>
      </c>
    </row>
    <row r="109" spans="1:5">
      <c r="A109" s="4">
        <v>105</v>
      </c>
      <c r="D109" s="5" t="s">
        <v>2482</v>
      </c>
      <c r="E109" s="5" t="s">
        <v>2809</v>
      </c>
    </row>
    <row r="110" spans="1:5">
      <c r="A110" s="4">
        <v>106</v>
      </c>
      <c r="D110" s="5" t="s">
        <v>2483</v>
      </c>
      <c r="E110" s="5" t="s">
        <v>2810</v>
      </c>
    </row>
    <row r="111" spans="1:5">
      <c r="A111" s="4">
        <v>107</v>
      </c>
      <c r="D111" s="5" t="s">
        <v>2484</v>
      </c>
      <c r="E111" s="5" t="s">
        <v>2811</v>
      </c>
    </row>
    <row r="112" spans="1:5">
      <c r="A112" s="4">
        <v>108</v>
      </c>
      <c r="D112" s="5" t="s">
        <v>2485</v>
      </c>
      <c r="E112" s="5" t="s">
        <v>2812</v>
      </c>
    </row>
    <row r="113" spans="1:5">
      <c r="A113" s="4">
        <v>109</v>
      </c>
      <c r="D113" s="5" t="s">
        <v>2486</v>
      </c>
      <c r="E113" s="5" t="s">
        <v>2813</v>
      </c>
    </row>
    <row r="114" spans="1:5">
      <c r="A114" s="4">
        <v>110</v>
      </c>
      <c r="D114" s="5" t="s">
        <v>2487</v>
      </c>
      <c r="E114" s="5" t="s">
        <v>2814</v>
      </c>
    </row>
    <row r="115" spans="1:5">
      <c r="A115" s="4">
        <v>111</v>
      </c>
      <c r="D115" s="5" t="s">
        <v>2488</v>
      </c>
      <c r="E115" s="5" t="s">
        <v>2815</v>
      </c>
    </row>
    <row r="116" spans="1:5">
      <c r="A116" s="4">
        <v>112</v>
      </c>
      <c r="D116" s="5" t="s">
        <v>2489</v>
      </c>
      <c r="E116" s="5" t="s">
        <v>2816</v>
      </c>
    </row>
    <row r="117" spans="1:5">
      <c r="A117" s="4">
        <v>113</v>
      </c>
      <c r="D117" s="5" t="s">
        <v>2490</v>
      </c>
      <c r="E117" s="5" t="s">
        <v>2817</v>
      </c>
    </row>
    <row r="118" spans="1:5">
      <c r="A118" s="4">
        <v>114</v>
      </c>
      <c r="C118" s="4" t="s">
        <v>429</v>
      </c>
      <c r="D118" s="5" t="s">
        <v>2491</v>
      </c>
      <c r="E118" s="5" t="s">
        <v>2818</v>
      </c>
    </row>
    <row r="119" spans="1:5">
      <c r="A119" s="4">
        <v>115</v>
      </c>
      <c r="D119" s="5" t="s">
        <v>2492</v>
      </c>
      <c r="E119" s="5" t="s">
        <v>2819</v>
      </c>
    </row>
    <row r="120" spans="1:5">
      <c r="A120" s="4">
        <v>116</v>
      </c>
      <c r="D120" s="5" t="s">
        <v>2493</v>
      </c>
      <c r="E120" s="5" t="s">
        <v>2820</v>
      </c>
    </row>
    <row r="121" spans="1:5">
      <c r="A121" s="4">
        <v>117</v>
      </c>
      <c r="D121" s="5" t="s">
        <v>2494</v>
      </c>
      <c r="E121" s="5" t="s">
        <v>2821</v>
      </c>
    </row>
    <row r="122" spans="1:5">
      <c r="A122" s="4">
        <v>118</v>
      </c>
      <c r="D122" s="5" t="s">
        <v>2495</v>
      </c>
      <c r="E122" s="5" t="s">
        <v>2822</v>
      </c>
    </row>
    <row r="123" spans="1:5">
      <c r="A123" s="4">
        <v>119</v>
      </c>
      <c r="D123" s="5" t="s">
        <v>2496</v>
      </c>
      <c r="E123" s="5" t="s">
        <v>2823</v>
      </c>
    </row>
    <row r="124" spans="1:5">
      <c r="A124" s="4">
        <v>120</v>
      </c>
      <c r="D124" s="5" t="s">
        <v>2497</v>
      </c>
      <c r="E124" s="5" t="s">
        <v>2824</v>
      </c>
    </row>
    <row r="125" spans="1:5">
      <c r="A125" s="4">
        <v>121</v>
      </c>
      <c r="D125" s="5" t="s">
        <v>2498</v>
      </c>
      <c r="E125" s="5" t="s">
        <v>2825</v>
      </c>
    </row>
    <row r="126" spans="1:5">
      <c r="A126" s="4">
        <v>122</v>
      </c>
      <c r="C126" s="4" t="s">
        <v>433</v>
      </c>
      <c r="D126" s="5" t="s">
        <v>2499</v>
      </c>
      <c r="E126" s="5" t="s">
        <v>2826</v>
      </c>
    </row>
    <row r="127" spans="1:5">
      <c r="A127" s="4">
        <v>123</v>
      </c>
      <c r="D127" s="5" t="s">
        <v>2500</v>
      </c>
      <c r="E127" s="5" t="s">
        <v>2827</v>
      </c>
    </row>
    <row r="128" spans="1:5">
      <c r="A128" s="4">
        <v>124</v>
      </c>
      <c r="D128" s="5" t="s">
        <v>2501</v>
      </c>
      <c r="E128" s="5" t="s">
        <v>2828</v>
      </c>
    </row>
    <row r="129" spans="1:5">
      <c r="A129" s="4">
        <v>125</v>
      </c>
      <c r="D129" s="5" t="s">
        <v>2502</v>
      </c>
      <c r="E129" s="5" t="s">
        <v>2829</v>
      </c>
    </row>
    <row r="130" spans="1:5">
      <c r="A130" s="4">
        <v>126</v>
      </c>
      <c r="C130" s="4" t="s">
        <v>445</v>
      </c>
      <c r="D130" s="5" t="s">
        <v>2503</v>
      </c>
      <c r="E130" s="5" t="s">
        <v>2830</v>
      </c>
    </row>
    <row r="131" spans="1:5">
      <c r="A131" s="4">
        <v>127</v>
      </c>
      <c r="D131" s="5" t="s">
        <v>2504</v>
      </c>
      <c r="E131" s="5" t="s">
        <v>2831</v>
      </c>
    </row>
    <row r="132" spans="1:5">
      <c r="A132" s="4">
        <v>128</v>
      </c>
      <c r="D132" s="5" t="s">
        <v>2505</v>
      </c>
      <c r="E132" s="5" t="s">
        <v>2832</v>
      </c>
    </row>
    <row r="133" spans="1:5">
      <c r="A133" s="4">
        <v>129</v>
      </c>
      <c r="C133" s="4" t="s">
        <v>441</v>
      </c>
      <c r="D133" s="5" t="s">
        <v>2506</v>
      </c>
      <c r="E133" s="5" t="s">
        <v>2833</v>
      </c>
    </row>
    <row r="134" spans="1:5">
      <c r="A134" s="4">
        <v>130</v>
      </c>
      <c r="D134" s="5" t="s">
        <v>2507</v>
      </c>
      <c r="E134" s="5" t="s">
        <v>2834</v>
      </c>
    </row>
    <row r="135" spans="1:5">
      <c r="A135" s="4">
        <v>131</v>
      </c>
      <c r="C135" s="4" t="s">
        <v>443</v>
      </c>
      <c r="D135" s="5" t="s">
        <v>2508</v>
      </c>
      <c r="E135" s="5" t="s">
        <v>2835</v>
      </c>
    </row>
    <row r="136" spans="1:5">
      <c r="A136" s="4">
        <v>132</v>
      </c>
      <c r="D136" s="5" t="s">
        <v>2509</v>
      </c>
      <c r="E136" s="5" t="s">
        <v>2836</v>
      </c>
    </row>
    <row r="137" spans="1:5">
      <c r="A137" s="4">
        <v>133</v>
      </c>
      <c r="D137" s="5" t="s">
        <v>2510</v>
      </c>
      <c r="E137" s="5" t="s">
        <v>2837</v>
      </c>
    </row>
    <row r="138" spans="1:5">
      <c r="A138" s="4">
        <v>134</v>
      </c>
      <c r="D138" s="5" t="s">
        <v>2511</v>
      </c>
      <c r="E138" s="5" t="s">
        <v>2838</v>
      </c>
    </row>
    <row r="139" spans="1:5">
      <c r="A139" s="4">
        <v>135</v>
      </c>
      <c r="D139" s="5" t="s">
        <v>2512</v>
      </c>
      <c r="E139" s="5" t="s">
        <v>2839</v>
      </c>
    </row>
  </sheetData>
  <autoFilter ref="A4:D139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42"/>
  <sheetViews>
    <sheetView workbookViewId="0">
      <selection activeCell="G15" sqref="G15"/>
    </sheetView>
  </sheetViews>
  <sheetFormatPr defaultColWidth="9" defaultRowHeight="14.4" outlineLevelCol="3"/>
  <cols>
    <col min="1" max="2" width="11.1111111111111" customWidth="1"/>
    <col min="3" max="3" width="27.2222222222222" customWidth="1"/>
  </cols>
  <sheetData>
    <row r="1" spans="1:2">
      <c r="A1" t="s">
        <v>1</v>
      </c>
      <c r="B1" t="s">
        <v>2</v>
      </c>
    </row>
    <row r="2" spans="3:4">
      <c r="C2" t="s">
        <v>3</v>
      </c>
      <c r="D2" t="s">
        <v>4</v>
      </c>
    </row>
    <row r="3" spans="3:4">
      <c r="C3" t="s">
        <v>31</v>
      </c>
      <c r="D3" t="s">
        <v>32</v>
      </c>
    </row>
    <row r="4" spans="3:4">
      <c r="C4" t="s">
        <v>41</v>
      </c>
      <c r="D4" t="s">
        <v>42</v>
      </c>
    </row>
    <row r="5" spans="3:4">
      <c r="C5" t="s">
        <v>28</v>
      </c>
      <c r="D5" t="s">
        <v>62</v>
      </c>
    </row>
    <row r="6" spans="3:4">
      <c r="C6" t="s">
        <v>35</v>
      </c>
      <c r="D6" t="s">
        <v>70</v>
      </c>
    </row>
    <row r="7" spans="3:4">
      <c r="C7" t="s">
        <v>95</v>
      </c>
      <c r="D7" t="s">
        <v>74</v>
      </c>
    </row>
    <row r="8" spans="1:2">
      <c r="A8" t="s">
        <v>107</v>
      </c>
      <c r="B8" t="s">
        <v>104</v>
      </c>
    </row>
    <row r="9" spans="3:4">
      <c r="C9" t="s">
        <v>108</v>
      </c>
      <c r="D9" t="s">
        <v>6</v>
      </c>
    </row>
    <row r="10" spans="3:4">
      <c r="C10" t="s">
        <v>113</v>
      </c>
      <c r="D10" t="s">
        <v>12</v>
      </c>
    </row>
    <row r="11" spans="3:4">
      <c r="C11" t="s">
        <v>115</v>
      </c>
      <c r="D11" t="s">
        <v>17</v>
      </c>
    </row>
    <row r="12" spans="3:4">
      <c r="C12" t="s">
        <v>117</v>
      </c>
      <c r="D12" t="s">
        <v>22</v>
      </c>
    </row>
    <row r="13" spans="1:2">
      <c r="A13" t="s">
        <v>427</v>
      </c>
      <c r="B13" t="s">
        <v>104</v>
      </c>
    </row>
    <row r="14" spans="3:4">
      <c r="C14" t="s">
        <v>482</v>
      </c>
      <c r="D14" t="s">
        <v>27</v>
      </c>
    </row>
    <row r="15" spans="3:4">
      <c r="C15" t="s">
        <v>2067</v>
      </c>
      <c r="D15" t="s">
        <v>27</v>
      </c>
    </row>
    <row r="16" spans="3:4">
      <c r="C16" t="s">
        <v>2064</v>
      </c>
      <c r="D16" t="s">
        <v>27</v>
      </c>
    </row>
    <row r="17" spans="3:4">
      <c r="C17" t="s">
        <v>2070</v>
      </c>
      <c r="D17" t="s">
        <v>27</v>
      </c>
    </row>
    <row r="18" spans="3:4">
      <c r="C18" t="s">
        <v>2736</v>
      </c>
      <c r="D18" t="s">
        <v>27</v>
      </c>
    </row>
    <row r="20" spans="3:4">
      <c r="C20" t="s">
        <v>2072</v>
      </c>
      <c r="D20" t="s">
        <v>34</v>
      </c>
    </row>
    <row r="21" spans="3:4">
      <c r="C21" t="s">
        <v>2768</v>
      </c>
      <c r="D21" t="s">
        <v>34</v>
      </c>
    </row>
    <row r="22" spans="3:4">
      <c r="C22" t="s">
        <v>567</v>
      </c>
      <c r="D22" t="s">
        <v>34</v>
      </c>
    </row>
    <row r="23" spans="3:4">
      <c r="C23" t="s">
        <v>2765</v>
      </c>
      <c r="D23" t="s">
        <v>34</v>
      </c>
    </row>
    <row r="25" spans="3:4">
      <c r="C25" t="s">
        <v>580</v>
      </c>
      <c r="D25" t="s">
        <v>4</v>
      </c>
    </row>
    <row r="26" spans="3:4">
      <c r="C26" t="s">
        <v>439</v>
      </c>
      <c r="D26" t="s">
        <v>4</v>
      </c>
    </row>
    <row r="27" spans="3:4">
      <c r="C27" t="s">
        <v>437</v>
      </c>
      <c r="D27" t="s">
        <v>4</v>
      </c>
    </row>
    <row r="28" spans="3:4">
      <c r="C28" t="s">
        <v>435</v>
      </c>
      <c r="D28" t="s">
        <v>4</v>
      </c>
    </row>
    <row r="29" spans="3:4">
      <c r="C29" t="s">
        <v>431</v>
      </c>
      <c r="D29" t="s">
        <v>4</v>
      </c>
    </row>
    <row r="30" spans="3:4">
      <c r="C30" t="s">
        <v>429</v>
      </c>
      <c r="D30" t="s">
        <v>4</v>
      </c>
    </row>
    <row r="31" spans="3:4">
      <c r="C31" t="s">
        <v>433</v>
      </c>
      <c r="D31" t="s">
        <v>4</v>
      </c>
    </row>
    <row r="32" spans="3:4">
      <c r="C32" t="s">
        <v>445</v>
      </c>
      <c r="D32" t="s">
        <v>4</v>
      </c>
    </row>
    <row r="33" spans="3:4">
      <c r="C33" t="s">
        <v>441</v>
      </c>
      <c r="D33" t="s">
        <v>4</v>
      </c>
    </row>
    <row r="34" spans="3:4">
      <c r="C34" t="s">
        <v>443</v>
      </c>
      <c r="D34" t="s">
        <v>4</v>
      </c>
    </row>
    <row r="39" spans="1:1">
      <c r="A39" t="s">
        <v>119</v>
      </c>
    </row>
    <row r="40" spans="1:1">
      <c r="A40" t="s">
        <v>120</v>
      </c>
    </row>
    <row r="41" spans="1:1">
      <c r="A41" t="s">
        <v>121</v>
      </c>
    </row>
    <row r="42" spans="1:1">
      <c r="A42" t="s">
        <v>123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169"/>
  <sheetViews>
    <sheetView workbookViewId="0">
      <pane ySplit="4" topLeftCell="A143" activePane="bottomLeft" state="frozen"/>
      <selection/>
      <selection pane="bottomLeft" activeCell="C146" sqref="C146:D155"/>
    </sheetView>
  </sheetViews>
  <sheetFormatPr defaultColWidth="9" defaultRowHeight="15.6"/>
  <cols>
    <col min="1" max="1" width="6.88888888888889" style="3" customWidth="1"/>
    <col min="2" max="2" width="26.7777777777778" style="3" customWidth="1"/>
    <col min="3" max="3" width="39.2222222222222" style="3" customWidth="1"/>
    <col min="4" max="4" width="28" style="3" customWidth="1"/>
    <col min="5" max="5" width="19.7777777777778" style="3" customWidth="1"/>
    <col min="6" max="6" width="21.7777777777778" style="3" customWidth="1"/>
    <col min="7" max="10" width="10.7777777777778" style="3" customWidth="1"/>
    <col min="11" max="11" width="28" style="3" customWidth="1"/>
    <col min="12" max="12" width="48.3333333333333" style="3" customWidth="1"/>
    <col min="13" max="13" width="38.1111111111111" style="3" customWidth="1"/>
    <col min="14" max="14" width="27.6666666666667" style="3" customWidth="1"/>
    <col min="15" max="15" width="19.8888888888889" style="3" customWidth="1"/>
    <col min="16" max="16" width="41" style="3" customWidth="1"/>
    <col min="17" max="17" width="21.8888888888889" style="3" customWidth="1"/>
    <col min="18" max="18" width="28.6666666666667" style="3" customWidth="1"/>
    <col min="19" max="19" width="26.1111111111111" style="3" customWidth="1"/>
    <col min="20" max="16384" width="9" style="3"/>
  </cols>
  <sheetData>
    <row r="1" s="1" customFormat="1" spans="1:14">
      <c r="A1" s="1" t="s">
        <v>2011</v>
      </c>
      <c r="B1" s="1">
        <v>1</v>
      </c>
      <c r="C1" s="1">
        <v>2</v>
      </c>
      <c r="D1" s="1">
        <v>3</v>
      </c>
      <c r="E1" s="1">
        <v>4</v>
      </c>
      <c r="G1" s="1">
        <v>1</v>
      </c>
      <c r="H1" s="1">
        <v>2</v>
      </c>
      <c r="I1" s="1">
        <v>3</v>
      </c>
      <c r="J1" s="1">
        <v>4</v>
      </c>
      <c r="K1" s="1">
        <v>1</v>
      </c>
      <c r="L1" s="1">
        <v>2</v>
      </c>
      <c r="M1" s="1">
        <v>3</v>
      </c>
      <c r="N1" s="1">
        <v>4</v>
      </c>
    </row>
    <row r="2" spans="1:12">
      <c r="A2" s="3">
        <v>1</v>
      </c>
      <c r="B2" s="3" t="s">
        <v>2840</v>
      </c>
      <c r="C2" s="3" t="s">
        <v>2841</v>
      </c>
      <c r="F2" s="3" t="s">
        <v>2842</v>
      </c>
      <c r="G2" s="3">
        <v>10000000</v>
      </c>
      <c r="H2" s="3">
        <v>10010000</v>
      </c>
      <c r="K2" s="3" t="s">
        <v>2843</v>
      </c>
      <c r="L2" s="3" t="s">
        <v>2844</v>
      </c>
    </row>
    <row r="3" spans="1:12">
      <c r="A3" s="3">
        <v>2</v>
      </c>
      <c r="C3" s="3" t="s">
        <v>2845</v>
      </c>
      <c r="H3" s="3">
        <v>10020000</v>
      </c>
      <c r="L3" s="3" t="s">
        <v>2846</v>
      </c>
    </row>
    <row r="4" spans="1:12">
      <c r="A4" s="3">
        <v>3</v>
      </c>
      <c r="C4" s="3" t="s">
        <v>2847</v>
      </c>
      <c r="H4" s="3">
        <v>10030000</v>
      </c>
      <c r="L4" s="3" t="s">
        <v>2848</v>
      </c>
    </row>
    <row r="5" spans="1:13">
      <c r="A5" s="3">
        <v>4</v>
      </c>
      <c r="C5" s="3" t="s">
        <v>2849</v>
      </c>
      <c r="D5" s="3" t="s">
        <v>2405</v>
      </c>
      <c r="H5" s="3">
        <v>10040000</v>
      </c>
      <c r="I5" s="3">
        <v>10040100</v>
      </c>
      <c r="L5" s="3" t="s">
        <v>2850</v>
      </c>
      <c r="M5" s="3" t="s">
        <v>2851</v>
      </c>
    </row>
    <row r="6" spans="1:13">
      <c r="A6" s="3">
        <v>5</v>
      </c>
      <c r="D6" s="3" t="s">
        <v>2407</v>
      </c>
      <c r="I6" s="3">
        <v>10040200</v>
      </c>
      <c r="M6" s="3" t="s">
        <v>2852</v>
      </c>
    </row>
    <row r="7" spans="1:13">
      <c r="A7" s="3">
        <v>6</v>
      </c>
      <c r="D7" s="3" t="s">
        <v>2409</v>
      </c>
      <c r="I7" s="3">
        <v>10040300</v>
      </c>
      <c r="M7" s="3" t="s">
        <v>2853</v>
      </c>
    </row>
    <row r="8" spans="1:13">
      <c r="A8" s="3">
        <v>7</v>
      </c>
      <c r="C8" s="3" t="s">
        <v>2854</v>
      </c>
      <c r="D8" s="3" t="s">
        <v>2191</v>
      </c>
      <c r="H8" s="3">
        <v>10050000</v>
      </c>
      <c r="I8" s="3">
        <v>10050100</v>
      </c>
      <c r="L8" s="3" t="s">
        <v>2855</v>
      </c>
      <c r="M8" s="3" t="s">
        <v>2856</v>
      </c>
    </row>
    <row r="9" spans="1:13">
      <c r="A9" s="3">
        <v>8</v>
      </c>
      <c r="C9" s="3" t="s">
        <v>2857</v>
      </c>
      <c r="D9" s="3" t="s">
        <v>2193</v>
      </c>
      <c r="H9" s="3">
        <v>10060000</v>
      </c>
      <c r="I9" s="3">
        <v>10060100</v>
      </c>
      <c r="L9" s="3" t="s">
        <v>2858</v>
      </c>
      <c r="M9" s="3" t="s">
        <v>2859</v>
      </c>
    </row>
    <row r="10" spans="1:13">
      <c r="A10" s="3">
        <v>9</v>
      </c>
      <c r="C10" s="3" t="s">
        <v>2860</v>
      </c>
      <c r="D10" s="3" t="s">
        <v>2195</v>
      </c>
      <c r="H10" s="3">
        <v>10070000</v>
      </c>
      <c r="I10" s="3">
        <v>10070100</v>
      </c>
      <c r="L10" s="3" t="s">
        <v>2861</v>
      </c>
      <c r="M10" s="3" t="s">
        <v>2862</v>
      </c>
    </row>
    <row r="11" spans="1:1">
      <c r="A11" s="3">
        <v>11</v>
      </c>
    </row>
    <row r="12" spans="1:13">
      <c r="A12" s="3">
        <v>12</v>
      </c>
      <c r="B12" s="3" t="s">
        <v>2863</v>
      </c>
      <c r="C12" s="3" t="s">
        <v>2864</v>
      </c>
      <c r="D12" s="3" t="s">
        <v>2865</v>
      </c>
      <c r="F12" s="3" t="s">
        <v>2866</v>
      </c>
      <c r="G12" s="3">
        <v>11000000</v>
      </c>
      <c r="H12" s="3">
        <v>11010000</v>
      </c>
      <c r="I12" s="3">
        <v>11010100</v>
      </c>
      <c r="K12" s="3" t="s">
        <v>2867</v>
      </c>
      <c r="L12" s="3" t="s">
        <v>2868</v>
      </c>
      <c r="M12" s="3" t="s">
        <v>2869</v>
      </c>
    </row>
    <row r="13" spans="1:13">
      <c r="A13" s="3">
        <v>13</v>
      </c>
      <c r="D13" s="3" t="s">
        <v>2870</v>
      </c>
      <c r="I13" s="3">
        <v>11010200</v>
      </c>
      <c r="M13" s="3" t="s">
        <v>2871</v>
      </c>
    </row>
    <row r="14" spans="1:13">
      <c r="A14" s="3">
        <v>14</v>
      </c>
      <c r="D14" s="3" t="s">
        <v>2872</v>
      </c>
      <c r="I14" s="3">
        <v>11010300</v>
      </c>
      <c r="M14" s="3" t="s">
        <v>2873</v>
      </c>
    </row>
    <row r="15" spans="1:13">
      <c r="A15" s="3">
        <v>15</v>
      </c>
      <c r="D15" s="3" t="s">
        <v>2874</v>
      </c>
      <c r="I15" s="3">
        <v>11010400</v>
      </c>
      <c r="M15" s="3" t="s">
        <v>2875</v>
      </c>
    </row>
    <row r="16" spans="1:13">
      <c r="A16" s="3">
        <v>16</v>
      </c>
      <c r="D16" s="3" t="s">
        <v>2876</v>
      </c>
      <c r="I16" s="3">
        <v>11010500</v>
      </c>
      <c r="M16" s="3" t="s">
        <v>2877</v>
      </c>
    </row>
    <row r="17" spans="1:13">
      <c r="A17" s="3">
        <v>17</v>
      </c>
      <c r="D17" s="3" t="s">
        <v>2878</v>
      </c>
      <c r="I17" s="3">
        <v>11010600</v>
      </c>
      <c r="M17" s="3" t="s">
        <v>2879</v>
      </c>
    </row>
    <row r="18" spans="1:13">
      <c r="A18" s="3">
        <v>18</v>
      </c>
      <c r="D18" s="3" t="s">
        <v>2880</v>
      </c>
      <c r="I18" s="3">
        <v>11010700</v>
      </c>
      <c r="M18" s="3" t="s">
        <v>2881</v>
      </c>
    </row>
    <row r="19" spans="1:13">
      <c r="A19" s="3">
        <v>19</v>
      </c>
      <c r="D19" s="3" t="s">
        <v>2882</v>
      </c>
      <c r="I19" s="3">
        <v>11010800</v>
      </c>
      <c r="M19" s="3" t="s">
        <v>2883</v>
      </c>
    </row>
    <row r="20" spans="1:13">
      <c r="A20" s="3">
        <v>20</v>
      </c>
      <c r="D20" s="3" t="s">
        <v>2884</v>
      </c>
      <c r="I20" s="3">
        <v>11010900</v>
      </c>
      <c r="M20" s="3" t="s">
        <v>2885</v>
      </c>
    </row>
    <row r="21" spans="1:13">
      <c r="A21" s="3">
        <v>21</v>
      </c>
      <c r="D21" s="3" t="s">
        <v>2886</v>
      </c>
      <c r="I21" s="3">
        <v>11011000</v>
      </c>
      <c r="M21" s="3" t="s">
        <v>2887</v>
      </c>
    </row>
    <row r="22" spans="1:13">
      <c r="A22" s="3">
        <v>22</v>
      </c>
      <c r="D22" s="3" t="s">
        <v>2888</v>
      </c>
      <c r="I22" s="3">
        <v>11011100</v>
      </c>
      <c r="M22" s="3" t="s">
        <v>2889</v>
      </c>
    </row>
    <row r="23" spans="1:13">
      <c r="A23" s="3">
        <v>23</v>
      </c>
      <c r="D23" s="3" t="s">
        <v>2890</v>
      </c>
      <c r="I23" s="3">
        <v>11011200</v>
      </c>
      <c r="M23" s="3" t="s">
        <v>2891</v>
      </c>
    </row>
    <row r="24" spans="1:13">
      <c r="A24" s="3">
        <v>24</v>
      </c>
      <c r="D24" s="3" t="s">
        <v>2892</v>
      </c>
      <c r="I24" s="3">
        <v>11011300</v>
      </c>
      <c r="M24" s="3" t="s">
        <v>2893</v>
      </c>
    </row>
    <row r="25" spans="1:14">
      <c r="A25" s="3">
        <v>25</v>
      </c>
      <c r="C25" s="3" t="s">
        <v>2894</v>
      </c>
      <c r="D25" s="3" t="s">
        <v>2895</v>
      </c>
      <c r="E25" s="3" t="s">
        <v>2896</v>
      </c>
      <c r="H25" s="3">
        <v>11020000</v>
      </c>
      <c r="I25" s="3">
        <v>11020100</v>
      </c>
      <c r="J25" s="3">
        <v>11020101</v>
      </c>
      <c r="L25" s="3" t="s">
        <v>2897</v>
      </c>
      <c r="M25" s="3" t="s">
        <v>2898</v>
      </c>
      <c r="N25" s="3" t="s">
        <v>2899</v>
      </c>
    </row>
    <row r="26" spans="1:14">
      <c r="A26" s="3">
        <v>26</v>
      </c>
      <c r="E26" s="3" t="s">
        <v>2900</v>
      </c>
      <c r="J26" s="3">
        <v>11020102</v>
      </c>
      <c r="N26" s="3" t="s">
        <v>2901</v>
      </c>
    </row>
    <row r="27" spans="1:14">
      <c r="A27" s="3">
        <v>27</v>
      </c>
      <c r="E27" s="3" t="s">
        <v>2902</v>
      </c>
      <c r="J27" s="3">
        <v>11020103</v>
      </c>
      <c r="N27" s="3" t="s">
        <v>2903</v>
      </c>
    </row>
    <row r="28" spans="1:14">
      <c r="A28" s="3">
        <v>28</v>
      </c>
      <c r="E28" s="3" t="s">
        <v>2904</v>
      </c>
      <c r="J28" s="3">
        <v>11020104</v>
      </c>
      <c r="N28" s="3" t="s">
        <v>2905</v>
      </c>
    </row>
    <row r="29" spans="1:14">
      <c r="A29" s="3">
        <v>29</v>
      </c>
      <c r="D29" s="3" t="s">
        <v>2906</v>
      </c>
      <c r="E29" s="3" t="s">
        <v>2907</v>
      </c>
      <c r="I29" s="3">
        <v>11020200</v>
      </c>
      <c r="J29" s="3">
        <v>11020201</v>
      </c>
      <c r="M29" s="3" t="s">
        <v>2908</v>
      </c>
      <c r="N29" s="3" t="s">
        <v>2909</v>
      </c>
    </row>
    <row r="30" spans="1:14">
      <c r="A30" s="3">
        <v>30</v>
      </c>
      <c r="E30" s="3" t="s">
        <v>2910</v>
      </c>
      <c r="J30" s="3">
        <v>11020202</v>
      </c>
      <c r="N30" s="3" t="s">
        <v>2911</v>
      </c>
    </row>
    <row r="31" spans="1:14">
      <c r="A31" s="3">
        <v>31</v>
      </c>
      <c r="E31" s="3" t="s">
        <v>2912</v>
      </c>
      <c r="J31" s="3">
        <v>11020203</v>
      </c>
      <c r="N31" s="3" t="s">
        <v>2913</v>
      </c>
    </row>
    <row r="32" spans="1:14">
      <c r="A32" s="3">
        <v>32</v>
      </c>
      <c r="E32" s="3" t="s">
        <v>2914</v>
      </c>
      <c r="J32" s="3">
        <v>11020204</v>
      </c>
      <c r="N32" s="3" t="s">
        <v>2915</v>
      </c>
    </row>
    <row r="33" spans="1:14">
      <c r="A33" s="3">
        <v>33</v>
      </c>
      <c r="E33" s="3" t="s">
        <v>2916</v>
      </c>
      <c r="J33" s="3">
        <v>11020205</v>
      </c>
      <c r="N33" s="3" t="s">
        <v>2917</v>
      </c>
    </row>
    <row r="34" spans="1:14">
      <c r="A34" s="3">
        <v>34</v>
      </c>
      <c r="E34" s="3" t="s">
        <v>2918</v>
      </c>
      <c r="J34" s="3">
        <v>11020206</v>
      </c>
      <c r="N34" s="3" t="s">
        <v>2919</v>
      </c>
    </row>
    <row r="35" spans="1:14">
      <c r="A35" s="3">
        <v>35</v>
      </c>
      <c r="E35" s="3" t="s">
        <v>2920</v>
      </c>
      <c r="J35" s="3">
        <v>11020207</v>
      </c>
      <c r="N35" s="3" t="s">
        <v>2921</v>
      </c>
    </row>
    <row r="36" spans="1:14">
      <c r="A36" s="3">
        <v>36</v>
      </c>
      <c r="E36" s="3" t="s">
        <v>2922</v>
      </c>
      <c r="J36" s="3">
        <v>11020208</v>
      </c>
      <c r="N36" s="3" t="s">
        <v>2923</v>
      </c>
    </row>
    <row r="37" spans="1:14">
      <c r="A37" s="3">
        <v>37</v>
      </c>
      <c r="E37" s="3" t="s">
        <v>2924</v>
      </c>
      <c r="J37" s="3">
        <v>11020209</v>
      </c>
      <c r="N37" s="3" t="s">
        <v>2925</v>
      </c>
    </row>
    <row r="38" spans="1:14">
      <c r="A38" s="3">
        <v>38</v>
      </c>
      <c r="E38" s="3" t="s">
        <v>2926</v>
      </c>
      <c r="J38" s="3">
        <v>11020210</v>
      </c>
      <c r="N38" s="3" t="s">
        <v>2927</v>
      </c>
    </row>
    <row r="39" spans="1:14">
      <c r="A39" s="3">
        <v>39</v>
      </c>
      <c r="E39" s="3" t="s">
        <v>2928</v>
      </c>
      <c r="J39" s="3">
        <v>11020211</v>
      </c>
      <c r="N39" s="3" t="s">
        <v>2929</v>
      </c>
    </row>
    <row r="40" spans="1:14">
      <c r="A40" s="3">
        <v>40</v>
      </c>
      <c r="E40" s="3" t="s">
        <v>2930</v>
      </c>
      <c r="J40" s="3">
        <v>11020212</v>
      </c>
      <c r="N40" s="3" t="s">
        <v>2931</v>
      </c>
    </row>
    <row r="41" spans="1:14">
      <c r="A41" s="3">
        <v>41</v>
      </c>
      <c r="E41" s="3" t="s">
        <v>2932</v>
      </c>
      <c r="J41" s="3">
        <v>11020213</v>
      </c>
      <c r="N41" s="3" t="s">
        <v>2933</v>
      </c>
    </row>
    <row r="42" spans="1:14">
      <c r="A42" s="3">
        <v>42</v>
      </c>
      <c r="E42" s="3" t="s">
        <v>2934</v>
      </c>
      <c r="J42" s="3">
        <v>11020214</v>
      </c>
      <c r="N42" s="3" t="s">
        <v>2935</v>
      </c>
    </row>
    <row r="43" spans="1:1">
      <c r="A43" s="3">
        <v>43</v>
      </c>
    </row>
    <row r="44" spans="1:13">
      <c r="A44" s="3">
        <v>44</v>
      </c>
      <c r="D44" s="3" t="s">
        <v>2936</v>
      </c>
      <c r="I44" s="3">
        <v>11020300</v>
      </c>
      <c r="M44" s="3" t="s">
        <v>2937</v>
      </c>
    </row>
    <row r="45" spans="1:1">
      <c r="A45" s="3">
        <v>45</v>
      </c>
    </row>
    <row r="46" spans="1:12">
      <c r="A46" s="3">
        <v>46</v>
      </c>
      <c r="C46" s="3" t="s">
        <v>2938</v>
      </c>
      <c r="H46" s="3">
        <v>11030000</v>
      </c>
      <c r="L46" s="3" t="s">
        <v>2939</v>
      </c>
    </row>
    <row r="47" spans="1:1">
      <c r="A47" s="3">
        <v>47</v>
      </c>
    </row>
    <row r="48" spans="1:12">
      <c r="A48" s="3">
        <v>48</v>
      </c>
      <c r="C48" s="3" t="s">
        <v>2940</v>
      </c>
      <c r="H48" s="3">
        <v>11040000</v>
      </c>
      <c r="L48" s="3" t="s">
        <v>2941</v>
      </c>
    </row>
    <row r="49" spans="1:1">
      <c r="A49" s="3">
        <v>49</v>
      </c>
    </row>
    <row r="50" spans="1:12">
      <c r="A50" s="3">
        <v>50</v>
      </c>
      <c r="B50" s="3" t="s">
        <v>2942</v>
      </c>
      <c r="C50" s="3" t="s">
        <v>2943</v>
      </c>
      <c r="F50" s="3" t="s">
        <v>2944</v>
      </c>
      <c r="G50" s="3">
        <v>12000000</v>
      </c>
      <c r="H50" s="3">
        <v>12010000</v>
      </c>
      <c r="K50" s="3" t="s">
        <v>2945</v>
      </c>
      <c r="L50" s="3" t="s">
        <v>2946</v>
      </c>
    </row>
    <row r="51" spans="1:1">
      <c r="A51" s="3">
        <v>51</v>
      </c>
    </row>
    <row r="52" spans="1:12">
      <c r="A52" s="3">
        <v>52</v>
      </c>
      <c r="B52" s="3" t="s">
        <v>2947</v>
      </c>
      <c r="C52" s="3" t="s">
        <v>2948</v>
      </c>
      <c r="F52" s="3" t="s">
        <v>2949</v>
      </c>
      <c r="G52" s="3">
        <v>13000000</v>
      </c>
      <c r="H52" s="3">
        <v>13010000</v>
      </c>
      <c r="K52" s="3" t="s">
        <v>2950</v>
      </c>
      <c r="L52" s="3" t="s">
        <v>2951</v>
      </c>
    </row>
    <row r="53" spans="1:12">
      <c r="A53" s="3">
        <v>53</v>
      </c>
      <c r="C53" s="3" t="s">
        <v>2952</v>
      </c>
      <c r="H53" s="3">
        <v>13010000</v>
      </c>
      <c r="L53" s="3" t="s">
        <v>2953</v>
      </c>
    </row>
    <row r="54" spans="1:12">
      <c r="A54" s="3">
        <v>54</v>
      </c>
      <c r="C54" s="3" t="s">
        <v>2954</v>
      </c>
      <c r="H54" s="3">
        <v>13010000</v>
      </c>
      <c r="L54" s="3" t="s">
        <v>2955</v>
      </c>
    </row>
    <row r="55" spans="1:12">
      <c r="A55" s="3">
        <v>55</v>
      </c>
      <c r="C55" s="3" t="s">
        <v>2956</v>
      </c>
      <c r="H55" s="3">
        <v>13010000</v>
      </c>
      <c r="L55" s="3" t="s">
        <v>2957</v>
      </c>
    </row>
    <row r="56" spans="1:12">
      <c r="A56" s="3">
        <v>56</v>
      </c>
      <c r="C56" s="3" t="s">
        <v>2958</v>
      </c>
      <c r="H56" s="3">
        <v>13010000</v>
      </c>
      <c r="L56" s="3" t="s">
        <v>2959</v>
      </c>
    </row>
    <row r="57" spans="1:12">
      <c r="A57" s="3">
        <v>57</v>
      </c>
      <c r="C57" s="3" t="s">
        <v>2960</v>
      </c>
      <c r="H57" s="3">
        <v>13010000</v>
      </c>
      <c r="L57" s="3" t="s">
        <v>2961</v>
      </c>
    </row>
    <row r="58" spans="1:12">
      <c r="A58" s="3">
        <v>58</v>
      </c>
      <c r="C58" s="3" t="s">
        <v>2962</v>
      </c>
      <c r="H58" s="3">
        <v>13010000</v>
      </c>
      <c r="L58" s="3" t="s">
        <v>2963</v>
      </c>
    </row>
    <row r="59" spans="1:12">
      <c r="A59" s="3">
        <v>59</v>
      </c>
      <c r="C59" s="3" t="s">
        <v>2964</v>
      </c>
      <c r="H59" s="3">
        <v>13010000</v>
      </c>
      <c r="L59" s="3" t="s">
        <v>2965</v>
      </c>
    </row>
    <row r="60" spans="1:12">
      <c r="A60" s="3">
        <v>60</v>
      </c>
      <c r="C60" s="3" t="s">
        <v>2966</v>
      </c>
      <c r="H60" s="3">
        <v>13010000</v>
      </c>
      <c r="L60" s="3" t="s">
        <v>2967</v>
      </c>
    </row>
    <row r="61" spans="1:12">
      <c r="A61" s="3">
        <v>61</v>
      </c>
      <c r="C61" s="3" t="s">
        <v>2968</v>
      </c>
      <c r="H61" s="3">
        <v>13010000</v>
      </c>
      <c r="L61" s="3" t="s">
        <v>2969</v>
      </c>
    </row>
    <row r="62" spans="1:12">
      <c r="A62" s="3">
        <v>62</v>
      </c>
      <c r="C62" s="3" t="s">
        <v>2970</v>
      </c>
      <c r="H62" s="3">
        <v>13010000</v>
      </c>
      <c r="L62" s="3" t="s">
        <v>2971</v>
      </c>
    </row>
    <row r="63" spans="1:12">
      <c r="A63" s="3">
        <v>63</v>
      </c>
      <c r="C63" s="3" t="s">
        <v>2972</v>
      </c>
      <c r="H63" s="3">
        <v>13010000</v>
      </c>
      <c r="L63" s="3" t="s">
        <v>2973</v>
      </c>
    </row>
    <row r="64" spans="1:12">
      <c r="A64" s="3">
        <v>64</v>
      </c>
      <c r="C64" s="3" t="s">
        <v>2974</v>
      </c>
      <c r="H64" s="3">
        <v>13010000</v>
      </c>
      <c r="L64" s="3" t="s">
        <v>2975</v>
      </c>
    </row>
    <row r="65" spans="1:1">
      <c r="A65" s="3">
        <v>65</v>
      </c>
    </row>
    <row r="66" spans="1:12">
      <c r="A66" s="3">
        <v>66</v>
      </c>
      <c r="B66" s="3" t="s">
        <v>2976</v>
      </c>
      <c r="C66" s="3" t="s">
        <v>2977</v>
      </c>
      <c r="F66" s="3" t="s">
        <v>2978</v>
      </c>
      <c r="G66" s="3">
        <v>14000000</v>
      </c>
      <c r="H66" s="3">
        <v>14010000</v>
      </c>
      <c r="K66" s="3" t="s">
        <v>2979</v>
      </c>
      <c r="L66" s="3" t="s">
        <v>2980</v>
      </c>
    </row>
    <row r="67" spans="1:12">
      <c r="A67" s="3">
        <v>67</v>
      </c>
      <c r="C67" s="3" t="s">
        <v>2981</v>
      </c>
      <c r="H67" s="3">
        <v>14020000</v>
      </c>
      <c r="L67" s="3" t="s">
        <v>2982</v>
      </c>
    </row>
    <row r="68" spans="1:12">
      <c r="A68" s="3">
        <v>68</v>
      </c>
      <c r="C68" s="3" t="s">
        <v>2983</v>
      </c>
      <c r="H68" s="3">
        <v>14030000</v>
      </c>
      <c r="L68" s="3" t="s">
        <v>2984</v>
      </c>
    </row>
    <row r="69" spans="1:12">
      <c r="A69" s="3">
        <v>69</v>
      </c>
      <c r="C69" s="3" t="s">
        <v>2985</v>
      </c>
      <c r="H69" s="3">
        <v>14040000</v>
      </c>
      <c r="L69" s="3" t="s">
        <v>2986</v>
      </c>
    </row>
    <row r="70" spans="1:1">
      <c r="A70" s="3">
        <v>70</v>
      </c>
    </row>
    <row r="71" spans="1:12">
      <c r="A71" s="3">
        <v>71</v>
      </c>
      <c r="B71" s="3" t="s">
        <v>2987</v>
      </c>
      <c r="C71" s="3" t="s">
        <v>2455</v>
      </c>
      <c r="F71" s="3" t="s">
        <v>2988</v>
      </c>
      <c r="G71" s="3">
        <v>15000000</v>
      </c>
      <c r="H71" s="3">
        <v>15010000</v>
      </c>
      <c r="K71" s="3" t="s">
        <v>2989</v>
      </c>
      <c r="L71" s="3" t="s">
        <v>2990</v>
      </c>
    </row>
    <row r="72" spans="1:12">
      <c r="A72" s="3">
        <v>72</v>
      </c>
      <c r="C72" s="3" t="s">
        <v>2456</v>
      </c>
      <c r="H72" s="3">
        <v>15020000</v>
      </c>
      <c r="L72" s="3" t="s">
        <v>2991</v>
      </c>
    </row>
    <row r="73" spans="1:12">
      <c r="A73" s="3">
        <v>73</v>
      </c>
      <c r="C73" s="3" t="s">
        <v>2457</v>
      </c>
      <c r="H73" s="3">
        <v>15030000</v>
      </c>
      <c r="L73" s="3" t="s">
        <v>2992</v>
      </c>
    </row>
    <row r="74" spans="1:1">
      <c r="A74" s="3">
        <v>74</v>
      </c>
    </row>
    <row r="75" spans="1:12">
      <c r="A75" s="3">
        <v>75</v>
      </c>
      <c r="B75" s="3" t="s">
        <v>2993</v>
      </c>
      <c r="C75" s="3" t="s">
        <v>2994</v>
      </c>
      <c r="F75" s="3" t="s">
        <v>2995</v>
      </c>
      <c r="G75" s="3">
        <v>16000000</v>
      </c>
      <c r="H75" s="3">
        <v>16010000</v>
      </c>
      <c r="K75" s="3" t="s">
        <v>2996</v>
      </c>
      <c r="L75" s="3" t="s">
        <v>2997</v>
      </c>
    </row>
    <row r="76" spans="1:12">
      <c r="A76" s="3">
        <v>76</v>
      </c>
      <c r="C76" s="3" t="s">
        <v>2998</v>
      </c>
      <c r="H76" s="3">
        <v>16020000</v>
      </c>
      <c r="L76" s="3" t="s">
        <v>2999</v>
      </c>
    </row>
    <row r="77" spans="1:12">
      <c r="A77" s="3">
        <v>77</v>
      </c>
      <c r="C77" s="3" t="s">
        <v>3000</v>
      </c>
      <c r="H77" s="3">
        <v>16030000</v>
      </c>
      <c r="L77" s="3" t="s">
        <v>3001</v>
      </c>
    </row>
    <row r="78" spans="1:12">
      <c r="A78" s="3">
        <v>78</v>
      </c>
      <c r="C78" s="3" t="s">
        <v>3002</v>
      </c>
      <c r="H78" s="3">
        <v>16040000</v>
      </c>
      <c r="L78" s="3" t="s">
        <v>3003</v>
      </c>
    </row>
    <row r="79" spans="1:1">
      <c r="A79" s="3">
        <v>79</v>
      </c>
    </row>
    <row r="80" spans="1:12">
      <c r="A80" s="3">
        <v>80</v>
      </c>
      <c r="B80" s="3" t="s">
        <v>3004</v>
      </c>
      <c r="C80" s="3" t="s">
        <v>3005</v>
      </c>
      <c r="F80" s="3" t="s">
        <v>3006</v>
      </c>
      <c r="G80" s="3">
        <v>17000000</v>
      </c>
      <c r="H80" s="3">
        <v>17010000</v>
      </c>
      <c r="K80" s="3" t="s">
        <v>3007</v>
      </c>
      <c r="L80" s="3" t="s">
        <v>3008</v>
      </c>
    </row>
    <row r="81" spans="1:12">
      <c r="A81" s="3">
        <v>81</v>
      </c>
      <c r="C81" s="3" t="s">
        <v>3009</v>
      </c>
      <c r="H81" s="3">
        <v>17020000</v>
      </c>
      <c r="L81" s="3" t="s">
        <v>3010</v>
      </c>
    </row>
    <row r="82" spans="1:12">
      <c r="A82" s="3">
        <v>82</v>
      </c>
      <c r="C82" s="3" t="s">
        <v>3011</v>
      </c>
      <c r="H82" s="3">
        <v>17030000</v>
      </c>
      <c r="L82" s="3" t="s">
        <v>3012</v>
      </c>
    </row>
    <row r="83" spans="1:12">
      <c r="A83" s="3">
        <v>83</v>
      </c>
      <c r="C83" s="3" t="s">
        <v>3013</v>
      </c>
      <c r="H83" s="3">
        <v>17040000</v>
      </c>
      <c r="L83" s="3" t="s">
        <v>3014</v>
      </c>
    </row>
    <row r="84" spans="1:12">
      <c r="A84" s="3">
        <v>84</v>
      </c>
      <c r="C84" s="3" t="s">
        <v>3015</v>
      </c>
      <c r="H84" s="3">
        <v>17050000</v>
      </c>
      <c r="L84" s="3" t="s">
        <v>3016</v>
      </c>
    </row>
    <row r="85" spans="1:12">
      <c r="A85" s="3">
        <v>85</v>
      </c>
      <c r="C85" s="3" t="s">
        <v>3017</v>
      </c>
      <c r="H85" s="3">
        <v>17060000</v>
      </c>
      <c r="L85" s="3" t="s">
        <v>3018</v>
      </c>
    </row>
    <row r="86" spans="1:12">
      <c r="A86" s="3">
        <v>86</v>
      </c>
      <c r="C86" s="3" t="s">
        <v>3019</v>
      </c>
      <c r="H86" s="3">
        <v>17070000</v>
      </c>
      <c r="L86" s="3" t="s">
        <v>3020</v>
      </c>
    </row>
    <row r="87" spans="1:12">
      <c r="A87" s="3">
        <v>87</v>
      </c>
      <c r="C87" s="3" t="s">
        <v>3021</v>
      </c>
      <c r="H87" s="3">
        <v>17080000</v>
      </c>
      <c r="L87" s="3" t="s">
        <v>3022</v>
      </c>
    </row>
    <row r="88" spans="1:12">
      <c r="A88" s="3">
        <v>88</v>
      </c>
      <c r="C88" s="3" t="s">
        <v>3023</v>
      </c>
      <c r="H88" s="3">
        <v>17090000</v>
      </c>
      <c r="L88" s="3" t="s">
        <v>3024</v>
      </c>
    </row>
    <row r="89" spans="1:12">
      <c r="A89" s="3">
        <v>89</v>
      </c>
      <c r="C89" s="3" t="s">
        <v>3025</v>
      </c>
      <c r="H89" s="3">
        <v>17100000</v>
      </c>
      <c r="L89" s="3" t="s">
        <v>3026</v>
      </c>
    </row>
    <row r="90" spans="1:1">
      <c r="A90" s="3">
        <v>90</v>
      </c>
    </row>
    <row r="91" spans="1:12">
      <c r="A91" s="3">
        <v>91</v>
      </c>
      <c r="B91" s="3" t="s">
        <v>3027</v>
      </c>
      <c r="C91" s="3" t="s">
        <v>3028</v>
      </c>
      <c r="F91" s="3" t="s">
        <v>3029</v>
      </c>
      <c r="G91" s="3">
        <v>18000000</v>
      </c>
      <c r="H91" s="3">
        <v>18010000</v>
      </c>
      <c r="K91" s="3" t="s">
        <v>3030</v>
      </c>
      <c r="L91" s="3" t="s">
        <v>3031</v>
      </c>
    </row>
    <row r="92" spans="1:12">
      <c r="A92" s="3">
        <v>92</v>
      </c>
      <c r="C92" s="3" t="s">
        <v>3032</v>
      </c>
      <c r="H92" s="3">
        <v>18020000</v>
      </c>
      <c r="L92" s="3" t="s">
        <v>3033</v>
      </c>
    </row>
    <row r="93" spans="1:12">
      <c r="A93" s="3">
        <v>93</v>
      </c>
      <c r="C93" s="3" t="s">
        <v>3034</v>
      </c>
      <c r="H93" s="3">
        <v>18030000</v>
      </c>
      <c r="L93" s="3" t="s">
        <v>3035</v>
      </c>
    </row>
    <row r="94" spans="1:12">
      <c r="A94" s="3">
        <v>94</v>
      </c>
      <c r="C94" s="3" t="s">
        <v>3036</v>
      </c>
      <c r="H94" s="3">
        <v>18040000</v>
      </c>
      <c r="L94" s="3" t="s">
        <v>3037</v>
      </c>
    </row>
    <row r="95" spans="1:12">
      <c r="A95" s="3">
        <v>95</v>
      </c>
      <c r="C95" s="3" t="s">
        <v>3038</v>
      </c>
      <c r="H95" s="3">
        <v>18050000</v>
      </c>
      <c r="L95" s="3" t="s">
        <v>3039</v>
      </c>
    </row>
    <row r="96" spans="1:1">
      <c r="A96" s="3">
        <v>96</v>
      </c>
    </row>
    <row r="97" spans="1:12">
      <c r="A97" s="3">
        <v>97</v>
      </c>
      <c r="B97" s="3" t="s">
        <v>3040</v>
      </c>
      <c r="C97" s="3" t="s">
        <v>3041</v>
      </c>
      <c r="F97" s="3" t="s">
        <v>3042</v>
      </c>
      <c r="G97" s="3">
        <v>19000000</v>
      </c>
      <c r="H97" s="3">
        <v>19010000</v>
      </c>
      <c r="K97" s="3" t="s">
        <v>3043</v>
      </c>
      <c r="L97" s="3" t="s">
        <v>3044</v>
      </c>
    </row>
    <row r="98" spans="1:12">
      <c r="A98" s="3">
        <v>98</v>
      </c>
      <c r="C98" s="3" t="s">
        <v>3045</v>
      </c>
      <c r="H98" s="3">
        <v>19020000</v>
      </c>
      <c r="L98" s="3" t="s">
        <v>3046</v>
      </c>
    </row>
    <row r="99" spans="1:12">
      <c r="A99" s="3">
        <v>99</v>
      </c>
      <c r="C99" s="3" t="s">
        <v>3047</v>
      </c>
      <c r="H99" s="3">
        <v>19030000</v>
      </c>
      <c r="L99" s="3" t="s">
        <v>3048</v>
      </c>
    </row>
    <row r="100" spans="1:12">
      <c r="A100" s="3">
        <v>100</v>
      </c>
      <c r="C100" s="3" t="s">
        <v>3049</v>
      </c>
      <c r="H100" s="3">
        <v>19040000</v>
      </c>
      <c r="L100" s="3" t="s">
        <v>3050</v>
      </c>
    </row>
    <row r="101" spans="1:12">
      <c r="A101" s="3">
        <v>101</v>
      </c>
      <c r="C101" s="3" t="s">
        <v>3051</v>
      </c>
      <c r="H101" s="3">
        <v>19050000</v>
      </c>
      <c r="L101" s="3" t="s">
        <v>3052</v>
      </c>
    </row>
    <row r="102" spans="1:12">
      <c r="A102" s="3">
        <v>102</v>
      </c>
      <c r="C102" s="3" t="s">
        <v>3053</v>
      </c>
      <c r="H102" s="3">
        <v>19060000</v>
      </c>
      <c r="L102" s="3" t="s">
        <v>3054</v>
      </c>
    </row>
    <row r="103" spans="1:12">
      <c r="A103" s="3">
        <v>103</v>
      </c>
      <c r="C103" s="3" t="s">
        <v>3055</v>
      </c>
      <c r="H103" s="3">
        <v>19070000</v>
      </c>
      <c r="L103" s="3" t="s">
        <v>3056</v>
      </c>
    </row>
    <row r="104" spans="1:12">
      <c r="A104" s="3">
        <v>104</v>
      </c>
      <c r="C104" s="3" t="s">
        <v>3057</v>
      </c>
      <c r="H104" s="3">
        <v>19080000</v>
      </c>
      <c r="L104" s="3" t="s">
        <v>3058</v>
      </c>
    </row>
    <row r="105" spans="1:12">
      <c r="A105" s="3">
        <v>105</v>
      </c>
      <c r="C105" s="3" t="s">
        <v>3059</v>
      </c>
      <c r="H105" s="3">
        <v>19090000</v>
      </c>
      <c r="L105" s="3" t="s">
        <v>3060</v>
      </c>
    </row>
    <row r="106" spans="1:12">
      <c r="A106" s="3">
        <v>106</v>
      </c>
      <c r="C106" s="3" t="s">
        <v>3061</v>
      </c>
      <c r="H106" s="3">
        <v>19100000</v>
      </c>
      <c r="L106" s="3" t="s">
        <v>3062</v>
      </c>
    </row>
    <row r="107" spans="1:12">
      <c r="A107" s="3">
        <v>107</v>
      </c>
      <c r="C107" s="3" t="s">
        <v>3063</v>
      </c>
      <c r="H107" s="3">
        <v>19110000</v>
      </c>
      <c r="L107" s="3" t="s">
        <v>3064</v>
      </c>
    </row>
    <row r="108" spans="1:12">
      <c r="A108" s="3">
        <v>108</v>
      </c>
      <c r="C108" s="3" t="s">
        <v>3065</v>
      </c>
      <c r="H108" s="3">
        <v>19120000</v>
      </c>
      <c r="L108" s="3" t="s">
        <v>3066</v>
      </c>
    </row>
    <row r="109" spans="1:12">
      <c r="A109" s="3">
        <v>109</v>
      </c>
      <c r="C109" s="3" t="s">
        <v>3067</v>
      </c>
      <c r="H109" s="3">
        <v>19130000</v>
      </c>
      <c r="L109" s="3" t="s">
        <v>3068</v>
      </c>
    </row>
    <row r="110" spans="1:12">
      <c r="A110" s="3">
        <v>110</v>
      </c>
      <c r="C110" s="3" t="s">
        <v>3069</v>
      </c>
      <c r="H110" s="3">
        <v>19140000</v>
      </c>
      <c r="L110" s="3" t="s">
        <v>3070</v>
      </c>
    </row>
    <row r="111" spans="1:1">
      <c r="A111" s="3">
        <v>111</v>
      </c>
    </row>
    <row r="112" spans="1:12">
      <c r="A112" s="3">
        <v>112</v>
      </c>
      <c r="B112" s="3" t="s">
        <v>3071</v>
      </c>
      <c r="C112" s="3" t="s">
        <v>3072</v>
      </c>
      <c r="F112" s="3" t="s">
        <v>3073</v>
      </c>
      <c r="G112" s="3">
        <v>20000000</v>
      </c>
      <c r="H112" s="3">
        <v>20010000</v>
      </c>
      <c r="K112" s="3" t="s">
        <v>3074</v>
      </c>
      <c r="L112" s="3" t="s">
        <v>3075</v>
      </c>
    </row>
    <row r="113" spans="1:12">
      <c r="A113" s="3">
        <v>113</v>
      </c>
      <c r="C113" s="3" t="s">
        <v>3076</v>
      </c>
      <c r="H113" s="3">
        <v>20020000</v>
      </c>
      <c r="L113" s="3" t="s">
        <v>3077</v>
      </c>
    </row>
    <row r="114" spans="1:12">
      <c r="A114" s="3">
        <v>114</v>
      </c>
      <c r="C114" s="3" t="s">
        <v>3078</v>
      </c>
      <c r="H114" s="3">
        <v>20020000</v>
      </c>
      <c r="L114" s="3" t="s">
        <v>3079</v>
      </c>
    </row>
    <row r="115" spans="1:12">
      <c r="A115" s="3">
        <v>115</v>
      </c>
      <c r="C115" s="3" t="s">
        <v>3080</v>
      </c>
      <c r="H115" s="3">
        <v>20020000</v>
      </c>
      <c r="L115" s="3" t="s">
        <v>3081</v>
      </c>
    </row>
    <row r="116" spans="1:12">
      <c r="A116" s="3">
        <v>116</v>
      </c>
      <c r="C116" s="3" t="s">
        <v>3082</v>
      </c>
      <c r="H116" s="3">
        <v>20020000</v>
      </c>
      <c r="L116" s="3" t="s">
        <v>3083</v>
      </c>
    </row>
    <row r="117" spans="1:12">
      <c r="A117" s="3">
        <v>117</v>
      </c>
      <c r="C117" s="3" t="s">
        <v>3084</v>
      </c>
      <c r="H117" s="3">
        <v>20020000</v>
      </c>
      <c r="L117" s="3" t="s">
        <v>3085</v>
      </c>
    </row>
    <row r="118" spans="1:12">
      <c r="A118" s="3">
        <v>118</v>
      </c>
      <c r="C118" s="3" t="s">
        <v>3086</v>
      </c>
      <c r="H118" s="3">
        <v>20020000</v>
      </c>
      <c r="L118" s="3" t="s">
        <v>3087</v>
      </c>
    </row>
    <row r="119" spans="1:12">
      <c r="A119" s="3">
        <v>119</v>
      </c>
      <c r="C119" s="3" t="s">
        <v>3088</v>
      </c>
      <c r="H119" s="3">
        <v>20020000</v>
      </c>
      <c r="L119" s="3" t="s">
        <v>3089</v>
      </c>
    </row>
    <row r="120" spans="1:1">
      <c r="A120" s="3">
        <v>120</v>
      </c>
    </row>
    <row r="121" spans="1:12">
      <c r="A121" s="3">
        <v>121</v>
      </c>
      <c r="B121" s="3" t="s">
        <v>3090</v>
      </c>
      <c r="C121" s="3" t="s">
        <v>3091</v>
      </c>
      <c r="F121" s="3" t="s">
        <v>3092</v>
      </c>
      <c r="G121" s="3">
        <v>21000000</v>
      </c>
      <c r="H121" s="3">
        <v>21010000</v>
      </c>
      <c r="K121" s="3" t="s">
        <v>3093</v>
      </c>
      <c r="L121" s="3" t="s">
        <v>3094</v>
      </c>
    </row>
    <row r="122" spans="1:12">
      <c r="A122" s="3">
        <v>122</v>
      </c>
      <c r="C122" s="3" t="s">
        <v>3095</v>
      </c>
      <c r="H122" s="3">
        <v>21020000</v>
      </c>
      <c r="L122" s="3" t="s">
        <v>3096</v>
      </c>
    </row>
    <row r="123" spans="1:12">
      <c r="A123" s="3">
        <v>123</v>
      </c>
      <c r="C123" s="3" t="s">
        <v>3097</v>
      </c>
      <c r="H123" s="3">
        <v>21030000</v>
      </c>
      <c r="L123" s="3" t="s">
        <v>3098</v>
      </c>
    </row>
    <row r="124" spans="1:12">
      <c r="A124" s="3">
        <v>124</v>
      </c>
      <c r="C124" s="3" t="s">
        <v>3099</v>
      </c>
      <c r="H124" s="3">
        <v>21040000</v>
      </c>
      <c r="L124" s="3" t="s">
        <v>3100</v>
      </c>
    </row>
    <row r="125" spans="1:1">
      <c r="A125" s="3">
        <v>125</v>
      </c>
    </row>
    <row r="126" spans="1:12">
      <c r="A126" s="3">
        <v>126</v>
      </c>
      <c r="B126" s="3" t="s">
        <v>3101</v>
      </c>
      <c r="C126" s="3" t="s">
        <v>3102</v>
      </c>
      <c r="F126" s="3" t="s">
        <v>3103</v>
      </c>
      <c r="G126" s="3">
        <v>22000000</v>
      </c>
      <c r="H126" s="3">
        <v>22010000</v>
      </c>
      <c r="K126" s="3" t="s">
        <v>3104</v>
      </c>
      <c r="L126" s="3" t="s">
        <v>3105</v>
      </c>
    </row>
    <row r="127" spans="1:12">
      <c r="A127" s="3">
        <v>127</v>
      </c>
      <c r="C127" s="3" t="s">
        <v>3106</v>
      </c>
      <c r="H127" s="3">
        <v>22020000</v>
      </c>
      <c r="L127" s="3" t="s">
        <v>3107</v>
      </c>
    </row>
    <row r="128" spans="1:12">
      <c r="A128" s="3">
        <v>128</v>
      </c>
      <c r="C128" s="3" t="s">
        <v>3108</v>
      </c>
      <c r="L128" s="3" t="s">
        <v>3108</v>
      </c>
    </row>
    <row r="129" spans="1:1">
      <c r="A129" s="3">
        <v>129</v>
      </c>
    </row>
    <row r="130" spans="1:12">
      <c r="A130" s="3">
        <v>130</v>
      </c>
      <c r="B130" s="3" t="s">
        <v>3109</v>
      </c>
      <c r="C130" s="3" t="s">
        <v>3110</v>
      </c>
      <c r="F130" s="3" t="s">
        <v>3111</v>
      </c>
      <c r="G130" s="3">
        <v>23000000</v>
      </c>
      <c r="H130" s="3">
        <v>23010000</v>
      </c>
      <c r="K130" s="3" t="s">
        <v>3112</v>
      </c>
      <c r="L130" s="3" t="s">
        <v>3113</v>
      </c>
    </row>
    <row r="131" spans="1:12">
      <c r="A131" s="3">
        <v>131</v>
      </c>
      <c r="C131" s="3" t="s">
        <v>3114</v>
      </c>
      <c r="H131" s="3">
        <v>23020000</v>
      </c>
      <c r="L131" s="3" t="s">
        <v>3115</v>
      </c>
    </row>
    <row r="132" spans="1:1">
      <c r="A132" s="3">
        <v>132</v>
      </c>
    </row>
    <row r="133" spans="1:12">
      <c r="A133" s="3">
        <v>133</v>
      </c>
      <c r="B133" s="3" t="s">
        <v>3116</v>
      </c>
      <c r="C133" s="3" t="s">
        <v>3117</v>
      </c>
      <c r="F133" s="3" t="s">
        <v>3118</v>
      </c>
      <c r="G133" s="3">
        <v>24000000</v>
      </c>
      <c r="H133" s="3">
        <v>24010000</v>
      </c>
      <c r="K133" s="3" t="s">
        <v>3119</v>
      </c>
      <c r="L133" s="3" t="s">
        <v>3120</v>
      </c>
    </row>
    <row r="134" spans="1:12">
      <c r="A134" s="3">
        <v>134</v>
      </c>
      <c r="C134" s="3" t="s">
        <v>3121</v>
      </c>
      <c r="H134" s="3">
        <v>24020000</v>
      </c>
      <c r="L134" s="3" t="s">
        <v>3122</v>
      </c>
    </row>
    <row r="135" spans="1:12">
      <c r="A135" s="3">
        <v>135</v>
      </c>
      <c r="C135" s="3" t="s">
        <v>3123</v>
      </c>
      <c r="H135" s="3">
        <v>24030000</v>
      </c>
      <c r="L135" s="3" t="s">
        <v>3124</v>
      </c>
    </row>
    <row r="136" spans="1:12">
      <c r="A136" s="3">
        <v>136</v>
      </c>
      <c r="C136" s="3" t="s">
        <v>3125</v>
      </c>
      <c r="H136" s="3">
        <v>24040000</v>
      </c>
      <c r="L136" s="3" t="s">
        <v>3126</v>
      </c>
    </row>
    <row r="137" spans="1:12">
      <c r="A137" s="3">
        <v>137</v>
      </c>
      <c r="C137" s="3" t="s">
        <v>3127</v>
      </c>
      <c r="H137" s="3">
        <v>24050000</v>
      </c>
      <c r="L137" s="3" t="s">
        <v>3128</v>
      </c>
    </row>
    <row r="138" spans="1:1">
      <c r="A138" s="3">
        <v>138</v>
      </c>
    </row>
    <row r="139" spans="1:12">
      <c r="A139" s="3">
        <v>139</v>
      </c>
      <c r="B139" s="3" t="s">
        <v>3129</v>
      </c>
      <c r="C139" s="3" t="s">
        <v>3130</v>
      </c>
      <c r="F139" s="3" t="s">
        <v>3131</v>
      </c>
      <c r="G139" s="3">
        <v>25000000</v>
      </c>
      <c r="H139" s="3">
        <v>25010000</v>
      </c>
      <c r="K139" s="3" t="s">
        <v>3132</v>
      </c>
      <c r="L139" s="3" t="s">
        <v>3133</v>
      </c>
    </row>
    <row r="140" spans="1:12">
      <c r="A140" s="3">
        <v>140</v>
      </c>
      <c r="C140" s="3" t="s">
        <v>3134</v>
      </c>
      <c r="H140" s="3">
        <v>25020000</v>
      </c>
      <c r="L140" s="3" t="s">
        <v>3135</v>
      </c>
    </row>
    <row r="141" spans="1:1">
      <c r="A141" s="3">
        <v>141</v>
      </c>
    </row>
    <row r="142" spans="1:12">
      <c r="A142" s="3">
        <v>142</v>
      </c>
      <c r="B142" s="3" t="s">
        <v>3136</v>
      </c>
      <c r="C142" s="3" t="s">
        <v>3137</v>
      </c>
      <c r="F142" s="3" t="s">
        <v>3138</v>
      </c>
      <c r="G142" s="3">
        <v>26000000</v>
      </c>
      <c r="H142" s="3">
        <v>26010000</v>
      </c>
      <c r="K142" s="3" t="s">
        <v>3139</v>
      </c>
      <c r="L142" s="3" t="s">
        <v>3140</v>
      </c>
    </row>
    <row r="143" spans="1:12">
      <c r="A143" s="3">
        <v>143</v>
      </c>
      <c r="C143" s="3" t="s">
        <v>3141</v>
      </c>
      <c r="H143" s="3">
        <v>26020000</v>
      </c>
      <c r="L143" s="3" t="s">
        <v>3142</v>
      </c>
    </row>
    <row r="144" spans="1:12">
      <c r="A144" s="3">
        <v>144</v>
      </c>
      <c r="C144" s="3" t="s">
        <v>3143</v>
      </c>
      <c r="H144" s="3">
        <v>26030000</v>
      </c>
      <c r="L144" s="3" t="s">
        <v>3144</v>
      </c>
    </row>
    <row r="145" spans="1:1">
      <c r="A145" s="3">
        <v>145</v>
      </c>
    </row>
    <row r="146" spans="1:13">
      <c r="A146" s="3">
        <v>146</v>
      </c>
      <c r="B146" s="3" t="s">
        <v>3145</v>
      </c>
      <c r="C146" s="3" t="s">
        <v>2207</v>
      </c>
      <c r="D146" s="3" t="s">
        <v>3146</v>
      </c>
      <c r="F146" s="3" t="s">
        <v>3147</v>
      </c>
      <c r="G146" s="3">
        <v>27000000</v>
      </c>
      <c r="H146" s="3">
        <v>27010000</v>
      </c>
      <c r="I146" s="3">
        <v>27010100</v>
      </c>
      <c r="K146" s="3" t="s">
        <v>3148</v>
      </c>
      <c r="L146" s="3" t="s">
        <v>3149</v>
      </c>
      <c r="M146" s="3" t="s">
        <v>3150</v>
      </c>
    </row>
    <row r="147" spans="1:13">
      <c r="A147" s="3">
        <v>147</v>
      </c>
      <c r="D147" s="3" t="s">
        <v>3151</v>
      </c>
      <c r="I147" s="3">
        <v>27010200</v>
      </c>
      <c r="M147" s="3" t="s">
        <v>3152</v>
      </c>
    </row>
    <row r="148" spans="1:13">
      <c r="A148" s="3">
        <v>148</v>
      </c>
      <c r="C148" s="3" t="s">
        <v>2209</v>
      </c>
      <c r="D148" s="3" t="s">
        <v>3153</v>
      </c>
      <c r="H148" s="3">
        <v>27020000</v>
      </c>
      <c r="I148" s="3">
        <v>27020100</v>
      </c>
      <c r="L148" s="3" t="s">
        <v>3154</v>
      </c>
      <c r="M148" s="3" t="s">
        <v>3155</v>
      </c>
    </row>
    <row r="149" spans="1:13">
      <c r="A149" s="3">
        <v>149</v>
      </c>
      <c r="D149" s="3" t="s">
        <v>3156</v>
      </c>
      <c r="I149" s="3">
        <v>27020200</v>
      </c>
      <c r="M149" s="3" t="s">
        <v>3157</v>
      </c>
    </row>
    <row r="150" spans="1:13">
      <c r="A150" s="3">
        <v>150</v>
      </c>
      <c r="C150" s="3" t="s">
        <v>967</v>
      </c>
      <c r="D150" s="3" t="s">
        <v>3158</v>
      </c>
      <c r="H150" s="3">
        <v>27030000</v>
      </c>
      <c r="I150" s="3">
        <v>27030100</v>
      </c>
      <c r="L150" s="3" t="s">
        <v>3159</v>
      </c>
      <c r="M150" s="3" t="s">
        <v>3160</v>
      </c>
    </row>
    <row r="151" spans="1:13">
      <c r="A151" s="3">
        <v>151</v>
      </c>
      <c r="D151" s="3" t="s">
        <v>3161</v>
      </c>
      <c r="I151" s="3">
        <v>27030200</v>
      </c>
      <c r="M151" s="3" t="s">
        <v>3162</v>
      </c>
    </row>
    <row r="152" spans="1:13">
      <c r="A152" s="3">
        <v>152</v>
      </c>
      <c r="D152" s="3" t="s">
        <v>3163</v>
      </c>
      <c r="I152" s="3">
        <v>27030300</v>
      </c>
      <c r="M152" s="3" t="s">
        <v>3164</v>
      </c>
    </row>
    <row r="153" spans="1:13">
      <c r="A153" s="3">
        <v>153</v>
      </c>
      <c r="D153" s="3" t="s">
        <v>3165</v>
      </c>
      <c r="I153" s="3">
        <v>27030400</v>
      </c>
      <c r="M153" s="3" t="s">
        <v>3166</v>
      </c>
    </row>
    <row r="154" spans="1:13">
      <c r="A154" s="3">
        <v>154</v>
      </c>
      <c r="C154" s="3" t="s">
        <v>2212</v>
      </c>
      <c r="D154" s="3" t="s">
        <v>3167</v>
      </c>
      <c r="H154" s="3">
        <v>27040000</v>
      </c>
      <c r="I154" s="3">
        <v>27040100</v>
      </c>
      <c r="L154" s="3" t="s">
        <v>3168</v>
      </c>
      <c r="M154" s="3" t="s">
        <v>3169</v>
      </c>
    </row>
    <row r="155" spans="1:9">
      <c r="A155" s="3">
        <v>155</v>
      </c>
      <c r="D155" s="3" t="s">
        <v>3170</v>
      </c>
      <c r="I155" s="3">
        <v>27040200</v>
      </c>
    </row>
    <row r="156" spans="1:1">
      <c r="A156" s="3">
        <v>156</v>
      </c>
    </row>
    <row r="157" spans="1:1">
      <c r="A157" s="3">
        <v>157</v>
      </c>
    </row>
    <row r="158" spans="1:1">
      <c r="A158" s="3">
        <v>158</v>
      </c>
    </row>
    <row r="159" spans="1:1">
      <c r="A159" s="3">
        <v>159</v>
      </c>
    </row>
    <row r="160" spans="1:1">
      <c r="A160" s="3">
        <v>160</v>
      </c>
    </row>
    <row r="161" spans="1:1">
      <c r="A161" s="3">
        <v>161</v>
      </c>
    </row>
    <row r="162" spans="1:1">
      <c r="A162" s="3">
        <v>162</v>
      </c>
    </row>
    <row r="163" spans="1:1">
      <c r="A163" s="3">
        <v>163</v>
      </c>
    </row>
    <row r="164" spans="1:12">
      <c r="A164" s="3">
        <v>164</v>
      </c>
      <c r="B164" s="3" t="s">
        <v>3171</v>
      </c>
      <c r="C164" s="3" t="s">
        <v>3172</v>
      </c>
      <c r="F164" s="3" t="s">
        <v>3173</v>
      </c>
      <c r="G164" s="3">
        <v>28000000</v>
      </c>
      <c r="H164" s="3">
        <v>28010000</v>
      </c>
      <c r="K164" s="3" t="s">
        <v>3174</v>
      </c>
      <c r="L164" s="3" t="s">
        <v>3175</v>
      </c>
    </row>
    <row r="165" spans="1:12">
      <c r="A165" s="3">
        <v>165</v>
      </c>
      <c r="C165" s="3" t="s">
        <v>3176</v>
      </c>
      <c r="H165" s="3">
        <v>28020000</v>
      </c>
      <c r="L165" s="3" t="s">
        <v>3177</v>
      </c>
    </row>
    <row r="166" spans="1:12">
      <c r="A166" s="3">
        <v>166</v>
      </c>
      <c r="C166" s="3" t="s">
        <v>3178</v>
      </c>
      <c r="L166" s="3" t="s">
        <v>3178</v>
      </c>
    </row>
    <row r="167" spans="1:12">
      <c r="A167" s="3">
        <v>167</v>
      </c>
      <c r="C167" s="3" t="s">
        <v>3179</v>
      </c>
      <c r="L167" s="3" t="s">
        <v>3179</v>
      </c>
    </row>
    <row r="168" spans="1:12">
      <c r="A168" s="3">
        <v>168</v>
      </c>
      <c r="C168" s="3" t="s">
        <v>3180</v>
      </c>
      <c r="L168" s="3" t="s">
        <v>3180</v>
      </c>
    </row>
    <row r="169" spans="1:1">
      <c r="A169" s="3">
        <v>169</v>
      </c>
    </row>
  </sheetData>
  <autoFilter ref="A1:N169">
    <extLst/>
  </autoFilter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Q26"/>
  <sheetViews>
    <sheetView topLeftCell="E1" workbookViewId="0">
      <selection activeCell="C14" sqref="C14"/>
    </sheetView>
  </sheetViews>
  <sheetFormatPr defaultColWidth="9" defaultRowHeight="15.6"/>
  <cols>
    <col min="1" max="1" width="9" style="1"/>
    <col min="2" max="2" width="20.4444444444444" style="1" customWidth="1"/>
    <col min="3" max="5" width="19.1111111111111" style="1" customWidth="1"/>
    <col min="6" max="11" width="9" style="1"/>
    <col min="12" max="12" width="30.6666666666667" style="1" customWidth="1"/>
    <col min="13" max="15" width="9" style="1"/>
    <col min="16" max="16" width="13" style="1" customWidth="1"/>
    <col min="17" max="16384" width="9" style="1"/>
  </cols>
  <sheetData>
    <row r="1" spans="1:17">
      <c r="A1" s="1" t="s">
        <v>2011</v>
      </c>
      <c r="B1" s="1" t="s">
        <v>2024</v>
      </c>
      <c r="C1" s="1" t="s">
        <v>3181</v>
      </c>
      <c r="D1" s="1" t="s">
        <v>3182</v>
      </c>
      <c r="E1" s="1" t="s">
        <v>3183</v>
      </c>
      <c r="F1" s="1" t="s">
        <v>3184</v>
      </c>
      <c r="J1" s="1" t="s">
        <v>3185</v>
      </c>
      <c r="K1" s="1">
        <f>COUNTIF(O:O,J1)</f>
        <v>0</v>
      </c>
      <c r="L1" s="1" t="s">
        <v>3186</v>
      </c>
      <c r="M1" s="1">
        <v>861123</v>
      </c>
      <c r="O1" s="1" t="s">
        <v>3187</v>
      </c>
      <c r="P1" s="1" t="s">
        <v>3188</v>
      </c>
      <c r="Q1" s="1">
        <f>COUNTIF(J:J,O1)</f>
        <v>3</v>
      </c>
    </row>
    <row r="2" spans="1:17">
      <c r="A2" s="1">
        <v>1</v>
      </c>
      <c r="B2" s="2" t="s">
        <v>3189</v>
      </c>
      <c r="J2" s="1" t="s">
        <v>3190</v>
      </c>
      <c r="K2" s="1">
        <f t="shared" ref="K2:K26" si="0">COUNTIF(O:O,J2)</f>
        <v>0</v>
      </c>
      <c r="L2" s="1" t="s">
        <v>3191</v>
      </c>
      <c r="M2" s="1">
        <v>444999</v>
      </c>
      <c r="O2" s="1" t="s">
        <v>3192</v>
      </c>
      <c r="P2" s="1" t="s">
        <v>2064</v>
      </c>
      <c r="Q2" s="1">
        <f t="shared" ref="Q2:Q19" si="1">COUNTIF(J:J,O2)</f>
        <v>3</v>
      </c>
    </row>
    <row r="3" spans="1:17">
      <c r="A3" s="1">
        <v>2</v>
      </c>
      <c r="B3" s="2" t="s">
        <v>2842</v>
      </c>
      <c r="J3" s="1" t="s">
        <v>3193</v>
      </c>
      <c r="K3" s="1">
        <f t="shared" si="0"/>
        <v>1</v>
      </c>
      <c r="L3" s="1" t="s">
        <v>3194</v>
      </c>
      <c r="M3" s="1">
        <v>964532</v>
      </c>
      <c r="O3" s="1" t="s">
        <v>3195</v>
      </c>
      <c r="P3" s="1" t="s">
        <v>2736</v>
      </c>
      <c r="Q3" s="1">
        <f t="shared" si="1"/>
        <v>0</v>
      </c>
    </row>
    <row r="4" spans="1:17">
      <c r="A4" s="1">
        <v>3</v>
      </c>
      <c r="B4" s="2" t="s">
        <v>2866</v>
      </c>
      <c r="J4" s="1" t="s">
        <v>3196</v>
      </c>
      <c r="K4" s="1">
        <f t="shared" si="0"/>
        <v>1</v>
      </c>
      <c r="L4" s="1" t="s">
        <v>3197</v>
      </c>
      <c r="M4" s="1">
        <v>453678</v>
      </c>
      <c r="O4" s="1" t="s">
        <v>3198</v>
      </c>
      <c r="P4" s="1" t="s">
        <v>2067</v>
      </c>
      <c r="Q4" s="1">
        <f t="shared" si="1"/>
        <v>2</v>
      </c>
    </row>
    <row r="5" spans="1:17">
      <c r="A5" s="1">
        <v>4</v>
      </c>
      <c r="B5" s="2" t="s">
        <v>2944</v>
      </c>
      <c r="J5" s="1" t="s">
        <v>3199</v>
      </c>
      <c r="K5" s="1">
        <f t="shared" si="0"/>
        <v>1</v>
      </c>
      <c r="L5" s="1" t="s">
        <v>3200</v>
      </c>
      <c r="M5" s="1">
        <v>245634</v>
      </c>
      <c r="O5" s="1" t="s">
        <v>3201</v>
      </c>
      <c r="P5" s="1" t="s">
        <v>482</v>
      </c>
      <c r="Q5" s="1">
        <f t="shared" si="1"/>
        <v>1</v>
      </c>
    </row>
    <row r="6" spans="1:17">
      <c r="A6" s="1">
        <v>5</v>
      </c>
      <c r="B6" s="2" t="s">
        <v>2949</v>
      </c>
      <c r="J6" s="1" t="s">
        <v>3202</v>
      </c>
      <c r="K6" s="1">
        <f t="shared" si="0"/>
        <v>1</v>
      </c>
      <c r="L6" s="1" t="s">
        <v>3203</v>
      </c>
      <c r="M6" s="1">
        <v>534567</v>
      </c>
      <c r="O6" s="1" t="s">
        <v>3204</v>
      </c>
      <c r="P6" s="1" t="s">
        <v>580</v>
      </c>
      <c r="Q6" s="1">
        <f t="shared" si="1"/>
        <v>0</v>
      </c>
    </row>
    <row r="7" spans="1:17">
      <c r="A7" s="1">
        <v>6</v>
      </c>
      <c r="B7" s="2" t="s">
        <v>2978</v>
      </c>
      <c r="J7" s="1" t="s">
        <v>3205</v>
      </c>
      <c r="K7" s="1">
        <f t="shared" si="0"/>
        <v>1</v>
      </c>
      <c r="L7" s="1" t="s">
        <v>3206</v>
      </c>
      <c r="M7" s="1">
        <v>342523</v>
      </c>
      <c r="O7" s="1" t="s">
        <v>3207</v>
      </c>
      <c r="P7" s="1" t="s">
        <v>439</v>
      </c>
      <c r="Q7" s="1">
        <f t="shared" si="1"/>
        <v>1</v>
      </c>
    </row>
    <row r="8" spans="1:17">
      <c r="A8" s="1">
        <v>7</v>
      </c>
      <c r="B8" s="2" t="s">
        <v>2988</v>
      </c>
      <c r="J8" s="1" t="s">
        <v>3207</v>
      </c>
      <c r="K8" s="1">
        <f t="shared" si="0"/>
        <v>1</v>
      </c>
      <c r="L8" s="1" t="s">
        <v>3208</v>
      </c>
      <c r="M8" s="1">
        <v>756432</v>
      </c>
      <c r="O8" s="1" t="s">
        <v>3205</v>
      </c>
      <c r="P8" s="1" t="s">
        <v>437</v>
      </c>
      <c r="Q8" s="1">
        <f t="shared" si="1"/>
        <v>1</v>
      </c>
    </row>
    <row r="9" spans="1:17">
      <c r="A9" s="1">
        <v>8</v>
      </c>
      <c r="B9" s="2" t="s">
        <v>2995</v>
      </c>
      <c r="J9" s="1" t="s">
        <v>3209</v>
      </c>
      <c r="K9" s="1">
        <f t="shared" si="0"/>
        <v>1</v>
      </c>
      <c r="L9" s="1" t="s">
        <v>3210</v>
      </c>
      <c r="M9" s="1">
        <v>567432</v>
      </c>
      <c r="O9" s="1" t="s">
        <v>3199</v>
      </c>
      <c r="P9" s="1" t="s">
        <v>435</v>
      </c>
      <c r="Q9" s="1">
        <f t="shared" si="1"/>
        <v>1</v>
      </c>
    </row>
    <row r="10" spans="1:17">
      <c r="A10" s="1">
        <v>9</v>
      </c>
      <c r="B10" s="2" t="s">
        <v>3006</v>
      </c>
      <c r="J10" s="1" t="s">
        <v>3211</v>
      </c>
      <c r="K10" s="1">
        <f t="shared" si="0"/>
        <v>1</v>
      </c>
      <c r="L10" s="1" t="s">
        <v>3212</v>
      </c>
      <c r="M10" s="1">
        <v>768767</v>
      </c>
      <c r="O10" s="1" t="s">
        <v>3202</v>
      </c>
      <c r="P10" s="1" t="s">
        <v>431</v>
      </c>
      <c r="Q10" s="1">
        <f t="shared" si="1"/>
        <v>1</v>
      </c>
    </row>
    <row r="11" spans="1:17">
      <c r="A11" s="1">
        <v>10</v>
      </c>
      <c r="B11" s="2" t="s">
        <v>3029</v>
      </c>
      <c r="J11" s="1" t="s">
        <v>3213</v>
      </c>
      <c r="K11" s="1">
        <f t="shared" si="0"/>
        <v>1</v>
      </c>
      <c r="L11" s="1" t="s">
        <v>3214</v>
      </c>
      <c r="M11" s="1">
        <v>453426</v>
      </c>
      <c r="O11" s="1" t="s">
        <v>3193</v>
      </c>
      <c r="P11" s="1" t="s">
        <v>429</v>
      </c>
      <c r="Q11" s="1">
        <f t="shared" si="1"/>
        <v>1</v>
      </c>
    </row>
    <row r="12" spans="1:17">
      <c r="A12" s="1">
        <v>11</v>
      </c>
      <c r="B12" s="2" t="s">
        <v>3042</v>
      </c>
      <c r="J12" s="1" t="s">
        <v>3187</v>
      </c>
      <c r="K12" s="1">
        <f t="shared" si="0"/>
        <v>1</v>
      </c>
      <c r="L12" s="1" t="s">
        <v>3215</v>
      </c>
      <c r="M12" s="1">
        <v>737581</v>
      </c>
      <c r="O12" s="1" t="s">
        <v>3196</v>
      </c>
      <c r="P12" s="1" t="s">
        <v>433</v>
      </c>
      <c r="Q12" s="1">
        <f t="shared" si="1"/>
        <v>1</v>
      </c>
    </row>
    <row r="13" spans="1:17">
      <c r="A13" s="1">
        <v>12</v>
      </c>
      <c r="B13" s="2" t="s">
        <v>3073</v>
      </c>
      <c r="J13" s="1" t="s">
        <v>3187</v>
      </c>
      <c r="K13" s="1">
        <f t="shared" si="0"/>
        <v>1</v>
      </c>
      <c r="L13" s="1" t="s">
        <v>3216</v>
      </c>
      <c r="O13" s="1" t="s">
        <v>3209</v>
      </c>
      <c r="P13" s="1" t="s">
        <v>445</v>
      </c>
      <c r="Q13" s="1">
        <f t="shared" si="1"/>
        <v>1</v>
      </c>
    </row>
    <row r="14" spans="1:17">
      <c r="A14" s="1">
        <v>13</v>
      </c>
      <c r="B14" s="2" t="s">
        <v>3092</v>
      </c>
      <c r="J14" s="1" t="s">
        <v>3187</v>
      </c>
      <c r="K14" s="1">
        <f t="shared" si="0"/>
        <v>1</v>
      </c>
      <c r="L14" s="1" t="s">
        <v>3217</v>
      </c>
      <c r="O14" s="1" t="s">
        <v>3213</v>
      </c>
      <c r="P14" s="1" t="s">
        <v>441</v>
      </c>
      <c r="Q14" s="1">
        <f t="shared" si="1"/>
        <v>1</v>
      </c>
    </row>
    <row r="15" spans="1:17">
      <c r="A15" s="1">
        <v>14</v>
      </c>
      <c r="B15" s="2" t="s">
        <v>3103</v>
      </c>
      <c r="J15" s="1" t="s">
        <v>3218</v>
      </c>
      <c r="K15" s="1">
        <f t="shared" si="0"/>
        <v>1</v>
      </c>
      <c r="L15" s="1" t="s">
        <v>3215</v>
      </c>
      <c r="O15" s="1" t="s">
        <v>3211</v>
      </c>
      <c r="P15" s="1" t="s">
        <v>443</v>
      </c>
      <c r="Q15" s="1">
        <f t="shared" si="1"/>
        <v>1</v>
      </c>
    </row>
    <row r="16" spans="1:17">
      <c r="A16" s="1">
        <v>15</v>
      </c>
      <c r="B16" s="2" t="s">
        <v>3111</v>
      </c>
      <c r="J16" s="1" t="s">
        <v>3219</v>
      </c>
      <c r="K16" s="1">
        <f t="shared" si="0"/>
        <v>1</v>
      </c>
      <c r="L16" s="1" t="s">
        <v>3216</v>
      </c>
      <c r="O16" s="1" t="s">
        <v>3219</v>
      </c>
      <c r="P16" s="1" t="s">
        <v>2765</v>
      </c>
      <c r="Q16" s="1">
        <f t="shared" si="1"/>
        <v>1</v>
      </c>
    </row>
    <row r="17" spans="1:17">
      <c r="A17" s="1">
        <v>16</v>
      </c>
      <c r="B17" s="2" t="s">
        <v>3118</v>
      </c>
      <c r="J17" s="1" t="s">
        <v>3220</v>
      </c>
      <c r="K17" s="1">
        <f t="shared" si="0"/>
        <v>1</v>
      </c>
      <c r="L17" s="1" t="s">
        <v>3217</v>
      </c>
      <c r="O17" s="1" t="s">
        <v>3218</v>
      </c>
      <c r="P17" s="1" t="s">
        <v>2768</v>
      </c>
      <c r="Q17" s="1">
        <f t="shared" si="1"/>
        <v>1</v>
      </c>
    </row>
    <row r="18" spans="1:17">
      <c r="A18" s="1">
        <v>17</v>
      </c>
      <c r="B18" s="2" t="s">
        <v>3131</v>
      </c>
      <c r="J18" s="1" t="s">
        <v>3198</v>
      </c>
      <c r="K18" s="1">
        <f t="shared" si="0"/>
        <v>1</v>
      </c>
      <c r="L18" s="1" t="s">
        <v>3221</v>
      </c>
      <c r="O18" s="1" t="s">
        <v>3220</v>
      </c>
      <c r="P18" s="1" t="s">
        <v>567</v>
      </c>
      <c r="Q18" s="1">
        <f t="shared" si="1"/>
        <v>1</v>
      </c>
    </row>
    <row r="19" spans="1:17">
      <c r="A19" s="1">
        <v>18</v>
      </c>
      <c r="B19" s="2" t="s">
        <v>3138</v>
      </c>
      <c r="J19" s="1" t="s">
        <v>3198</v>
      </c>
      <c r="K19" s="1">
        <f t="shared" si="0"/>
        <v>1</v>
      </c>
      <c r="L19" s="1" t="s">
        <v>3222</v>
      </c>
      <c r="O19" s="1" t="s">
        <v>3223</v>
      </c>
      <c r="P19" s="1" t="s">
        <v>2070</v>
      </c>
      <c r="Q19" s="1">
        <f t="shared" si="1"/>
        <v>0</v>
      </c>
    </row>
    <row r="20" spans="1:12">
      <c r="A20" s="1">
        <v>19</v>
      </c>
      <c r="B20" s="2" t="s">
        <v>3147</v>
      </c>
      <c r="J20" s="1" t="s">
        <v>3201</v>
      </c>
      <c r="K20" s="1">
        <f t="shared" si="0"/>
        <v>1</v>
      </c>
      <c r="L20" s="1" t="s">
        <v>3224</v>
      </c>
    </row>
    <row r="21" spans="1:12">
      <c r="A21" s="1">
        <v>20</v>
      </c>
      <c r="B21" s="2" t="s">
        <v>3173</v>
      </c>
      <c r="J21" s="1" t="s">
        <v>3192</v>
      </c>
      <c r="K21" s="1">
        <f t="shared" si="0"/>
        <v>1</v>
      </c>
      <c r="L21" s="1" t="s">
        <v>3225</v>
      </c>
    </row>
    <row r="22" spans="10:12">
      <c r="J22" s="1" t="s">
        <v>3192</v>
      </c>
      <c r="K22" s="1">
        <f t="shared" si="0"/>
        <v>1</v>
      </c>
      <c r="L22" s="1" t="s">
        <v>3226</v>
      </c>
    </row>
    <row r="23" spans="10:12">
      <c r="J23" s="1" t="s">
        <v>3227</v>
      </c>
      <c r="K23" s="1">
        <f t="shared" si="0"/>
        <v>0</v>
      </c>
      <c r="L23" s="1" t="s">
        <v>3228</v>
      </c>
    </row>
    <row r="24" spans="10:12">
      <c r="J24" s="1" t="s">
        <v>3229</v>
      </c>
      <c r="K24" s="1">
        <f t="shared" si="0"/>
        <v>0</v>
      </c>
      <c r="L24" s="1" t="s">
        <v>3230</v>
      </c>
    </row>
    <row r="25" spans="10:12">
      <c r="J25" s="1" t="s">
        <v>3192</v>
      </c>
      <c r="K25" s="1">
        <f t="shared" si="0"/>
        <v>1</v>
      </c>
      <c r="L25" s="1" t="s">
        <v>3226</v>
      </c>
    </row>
    <row r="26" spans="10:12">
      <c r="J26" s="1" t="s">
        <v>3231</v>
      </c>
      <c r="K26" s="1">
        <f t="shared" si="0"/>
        <v>0</v>
      </c>
      <c r="L26" s="1" t="s">
        <v>3232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物料分类表 (2)</vt:lpstr>
      <vt:lpstr>物料分类表 R22</vt:lpstr>
      <vt:lpstr>Sheet2</vt:lpstr>
      <vt:lpstr>外购件</vt:lpstr>
      <vt:lpstr>汇总</vt:lpstr>
      <vt:lpstr>分解表</vt:lpstr>
      <vt:lpstr>原材料编码规则</vt:lpstr>
      <vt:lpstr>外购设备编码规则</vt:lpstr>
      <vt:lpstr>外购件编码规则</vt:lpstr>
      <vt:lpstr>Sheet1</vt:lpstr>
      <vt:lpstr>外购件分类表</vt:lpstr>
      <vt:lpstr>外购件总清单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马俊</dc:creator>
  <cp:lastModifiedBy>JOHN</cp:lastModifiedBy>
  <dcterms:created xsi:type="dcterms:W3CDTF">2006-09-16T00:00:00Z</dcterms:created>
  <dcterms:modified xsi:type="dcterms:W3CDTF">2019-05-31T05:51:51Z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2052-11.1.0.8567</vt:lpwstr>
  </property>
</Properties>
</file>